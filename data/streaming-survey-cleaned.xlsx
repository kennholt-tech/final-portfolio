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enno\Downloads\"/>
    </mc:Choice>
  </mc:AlternateContent>
  <xr:revisionPtr revIDLastSave="0" documentId="13_ncr:1_{A7CFC182-1576-4D26-9DBF-CCD4EC52DD15}" xr6:coauthVersionLast="47" xr6:coauthVersionMax="47" xr10:uidLastSave="{00000000-0000-0000-0000-000000000000}"/>
  <bookViews>
    <workbookView xWindow="52200" yWindow="0" windowWidth="24690" windowHeight="20970" tabRatio="304" xr2:uid="{00000000-000D-0000-FFFF-FFFF00000000}"/>
  </bookViews>
  <sheets>
    <sheet name="Analysis Tables" sheetId="5" r:id="rId1"/>
    <sheet name="Analysis Data" sheetId="4" r:id="rId2"/>
    <sheet name="Cleaned Data" sheetId="2" r:id="rId3"/>
    <sheet name="Raw Qualtrics Data" sheetId="1" r:id="rId4"/>
  </sheets>
  <definedNames>
    <definedName name="_xlnm._FilterDatabase" localSheetId="1" hidden="1">'Analysis Data'!$A$2:$AI$40</definedName>
    <definedName name="_xlnm._FilterDatabase" localSheetId="0" hidden="1">'Analysis Tables'!$A$2:$AI$40</definedName>
    <definedName name="_xlnm._FilterDatabase" localSheetId="2" hidden="1">'Cleaned Data'!$A$2:$AI$40</definedName>
    <definedName name="_xlnm._FilterDatabase" localSheetId="3" hidden="1">'Raw Qualtrics Data'!$A$2:$AM$44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5" l="1"/>
  <c r="C32" i="5"/>
  <c r="B33" i="5"/>
  <c r="B34" i="5" s="1"/>
  <c r="B59" i="5"/>
  <c r="B58" i="5"/>
  <c r="B57" i="5"/>
  <c r="B56" i="5" a="1"/>
  <c r="B56" i="5" s="1"/>
  <c r="C52" i="5"/>
  <c r="B52" i="5"/>
  <c r="C51" i="5"/>
  <c r="B51" i="5"/>
  <c r="D47" i="5"/>
  <c r="C46" i="5"/>
  <c r="C47" i="5" s="1"/>
  <c r="B46" i="5"/>
  <c r="C45" i="5"/>
  <c r="B45" i="5"/>
  <c r="B47" i="5" s="1"/>
  <c r="AL4" i="4"/>
  <c r="AL5" i="4"/>
  <c r="AL6" i="4"/>
  <c r="AL7" i="4"/>
  <c r="B26" i="5" s="1"/>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3" i="4"/>
  <c r="B39" i="5"/>
  <c r="B38" i="5"/>
  <c r="B32" i="5"/>
  <c r="B22" i="5"/>
  <c r="C20" i="5"/>
  <c r="C18" i="5"/>
  <c r="C19" i="5"/>
  <c r="B18" i="5"/>
  <c r="B20" i="5" s="1"/>
  <c r="B19" i="5"/>
  <c r="B17" i="5"/>
  <c r="B2" i="5"/>
  <c r="B10" i="5"/>
  <c r="B9" i="5"/>
  <c r="B8" i="5"/>
  <c r="B7" i="5"/>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J4" i="4"/>
  <c r="AJ5" i="4"/>
  <c r="AJ6" i="4"/>
  <c r="AJ7" i="4"/>
  <c r="AJ8" i="4"/>
  <c r="AJ9" i="4"/>
  <c r="AJ10" i="4"/>
  <c r="AJ11" i="4"/>
  <c r="AJ12" i="4"/>
  <c r="AJ13" i="4"/>
  <c r="AJ14" i="4"/>
  <c r="AJ15" i="4"/>
  <c r="AJ16" i="4"/>
  <c r="AJ17" i="4"/>
  <c r="AJ18" i="4"/>
  <c r="AJ19" i="4"/>
  <c r="AJ20" i="4"/>
  <c r="AJ21" i="4"/>
  <c r="AJ22" i="4"/>
  <c r="AJ23" i="4"/>
  <c r="AJ24" i="4"/>
  <c r="AJ25" i="4"/>
  <c r="AJ26" i="4"/>
  <c r="AJ27" i="4"/>
  <c r="AJ28" i="4"/>
  <c r="AJ29" i="4"/>
  <c r="AJ30" i="4"/>
  <c r="AJ31" i="4"/>
  <c r="AJ32" i="4"/>
  <c r="AJ33" i="4"/>
  <c r="AJ34" i="4"/>
  <c r="AJ35" i="4"/>
  <c r="AJ36" i="4"/>
  <c r="AJ37" i="4"/>
  <c r="AJ38" i="4"/>
  <c r="AJ39" i="4"/>
  <c r="AM3" i="4"/>
  <c r="AJ3" i="4"/>
  <c r="C34" i="5" l="1"/>
  <c r="D45" i="5"/>
  <c r="D46" i="5"/>
  <c r="B27" i="5"/>
  <c r="C27" i="5" s="1"/>
  <c r="C17" i="5"/>
  <c r="C26" i="5" l="1"/>
  <c r="C28" i="5" s="1"/>
  <c r="B2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tc={B7CCF2E6-5047-4B40-9974-D7F96FFC5CFA}</author>
  </authors>
  <commentList>
    <comment ref="A37" authorId="0" shapeId="0" xr:uid="{B7CCF2E6-5047-4B40-9974-D7F96FFC5CFA}">
      <text>
        <t>[Threaded comment]
Your version of Excel allows you to read this threaded comment; however, any edits to it will get removed if the file is opened in a newer version of Excel. Learn more: https://go.microsoft.com/fwlink/?linkid=870924
Comment:
    Loyalty Score based on Past Cancellation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<sst xmlns="http://schemas.openxmlformats.org/spreadsheetml/2006/main" count="1154" uniqueCount="213">
  <si>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</si>
  <si>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</si>
  <si>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</si>
  <si>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</si>
  <si>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</si>
  <si>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</si>
  <si>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</si>
  <si>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</si>
  <si>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</si>
  <si>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</si>
  <si>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</si>
  <si>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</si>
  <si>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</si>
  <si>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</si>
  <si>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</si>
  <si>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</si>
  <si>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</si>
  <si>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</si>
  <si>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Q2_1</t>
  </si>
  <si>
    <t>Q2_2</t>
  </si>
  <si>
    <t>Q2_3</t>
  </si>
  <si>
    <t>Q2_4</t>
  </si>
  <si>
    <t>Q2_5</t>
  </si>
  <si>
    <t>Q2_6</t>
  </si>
  <si>
    <t>Q2_7</t>
  </si>
  <si>
    <t>Q2_8</t>
  </si>
  <si>
    <t>Q2_9</t>
  </si>
  <si>
    <t>Q2_10</t>
  </si>
  <si>
    <t>Q3_1</t>
  </si>
  <si>
    <t>Q3_2</t>
  </si>
  <si>
    <t>Q3_3</t>
  </si>
  <si>
    <t>Q3_4</t>
  </si>
  <si>
    <t>Q3_5</t>
  </si>
  <si>
    <t>Q4_NPS_GROUP</t>
  </si>
  <si>
    <t>Q4</t>
  </si>
  <si>
    <t>Q5</t>
  </si>
  <si>
    <t>Q6</t>
  </si>
  <si>
    <t>Q7</t>
  </si>
  <si>
    <t>Q8</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</si>
  <si>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</si>
  <si>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</si>
  <si>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</si>
  <si>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</si>
  <si>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</si>
  <si>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</si>
  <si>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</si>
  <si>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</si>
  <si>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</si>
  <si>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</si>
  <si>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</si>
  <si>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</si>
  <si>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</si>
  <si>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</si>
  <si>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Which statement best describes your role in streaming service decisions for your household?</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</si>
  <si>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Netflix</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</si>
  <si>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Hulu</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</si>
  <si>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Disney+</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</si>
  <si>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Max</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</si>
  <si>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Prime Video</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</si>
  <si>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Peacock</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</si>
  <si>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Paramount+</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</si>
  <si>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Apple TV+</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</si>
  <si>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YouTube TV</t>
  </si>
  <si>
    <t>Please rank each streaming service based on how often you use it.
Select First Most Used Service for the streaming service you use the most.
Select Second Most Used Service for the service you use second most.
Select Third Most Used Service for the service you use third most.
For all other services, select Other (Not in top 3). - Other</t>
  </si>
  <si>
    <t>Please indicate your level of agreement with the following statements about the streaming service you use most often. - I intend to keep using this streaming service.</t>
  </si>
  <si>
    <t>Please indicate your level of agreement with the following statements about the streaming service you use most often. - This streaming service would be one of my first choices.</t>
  </si>
  <si>
    <t>Please indicate your level of agreement with the following statements about the streaming service you use most often. - I would recommend this streaming service to others.</t>
  </si>
  <si>
    <t>Please indicate your level of agreement with the following statements about the streaming service you use most often. - I would not easily switch to a competing streaming service.</t>
  </si>
  <si>
    <t>Please indicate your level of agreement with the following statements about the streaming service you use most often. - I trust this streaming service.</t>
  </si>
  <si>
    <t>How likely are you to recommend the streaming service you use most often to a friend or colleague? - Group</t>
  </si>
  <si>
    <t>How likely are you to recommend the streaming service you use most often to a friend or colleague?</t>
  </si>
  <si>
    <t>In the past 6 months, how often have you used the streaming service you ranked as #1?</t>
  </si>
  <si>
    <t>How likely are you to cancel at least one streaming service in the next 6 months?</t>
  </si>
  <si>
    <t>Have you canceled a streaming service within the past year?</t>
  </si>
  <si>
    <t>What is the main reason you would continue using the streaming service you ranked as your first most used service? (Optional)</t>
  </si>
  <si>
    <t/>
  </si>
  <si>
    <t>R_1KdQakUEmaWjbXY</t>
  </si>
  <si>
    <t>preview</t>
  </si>
  <si>
    <t>EN</t>
  </si>
  <si>
    <t>R_1s0vom0gdUP1tD6</t>
  </si>
  <si>
    <t>R_1SlzBBDzrGUnk2j</t>
  </si>
  <si>
    <t>174.227.87.108</t>
  </si>
  <si>
    <t>R_3QYw2cwDtcLjPhS</t>
  </si>
  <si>
    <t>anonymous</t>
  </si>
  <si>
    <t>47.157.11.239</t>
  </si>
  <si>
    <t>R_7Ic3QOXZbQv4nf3</t>
  </si>
  <si>
    <t>Prime and Apple have some good shows out right now. That’s about it.</t>
  </si>
  <si>
    <t>172.118.234.9</t>
  </si>
  <si>
    <t>R_3ZCSRojYz3GOAY9</t>
  </si>
  <si>
    <t>172.56.127.220</t>
  </si>
  <si>
    <t>R_1G6uVLcPuH1Z0Az</t>
  </si>
  <si>
    <t xml:space="preserve">I like how convenient it is </t>
  </si>
  <si>
    <t>68.116.243.14</t>
  </si>
  <si>
    <t>R_7ygw0M6EIOY4CrW</t>
  </si>
  <si>
    <t>Replaced Cable TV</t>
  </si>
  <si>
    <t>174.219.86.162</t>
  </si>
  <si>
    <t>R_5wo6bASx9q50NIt</t>
  </si>
  <si>
    <t>Content I want to watch, no commercials, others watching the same shows for us to talk about them</t>
  </si>
  <si>
    <t>73.233.185.108</t>
  </si>
  <si>
    <t>R_5SvqgRsbh8VQ2MV</t>
  </si>
  <si>
    <t>It has all the sports games I want to watch</t>
  </si>
  <si>
    <t>107.127.13.55</t>
  </si>
  <si>
    <t>R_3ZUNk2hyCuw5ZBf</t>
  </si>
  <si>
    <t>Variety of content</t>
  </si>
  <si>
    <t>73.230.83.35</t>
  </si>
  <si>
    <t>R_7tyPefbIqpeZzUt</t>
  </si>
  <si>
    <t>107.222.119.137</t>
  </si>
  <si>
    <t>R_54ejdoXRz9glW4V</t>
  </si>
  <si>
    <t>46.110.82.38</t>
  </si>
  <si>
    <t>R_3RAxeVk1gybD4UV</t>
  </si>
  <si>
    <t>71.92.166.245</t>
  </si>
  <si>
    <t>R_741Vhs9459RUFHm</t>
  </si>
  <si>
    <t xml:space="preserve">It has the best variety for my interests, and secondly it is seamlessly integrated to my Amazon usage making it feel like a package deal, finally it feels like a good value for what comes for free and I appreciate that items for purchase are available and reasonable. </t>
  </si>
  <si>
    <t>76.150.200.50</t>
  </si>
  <si>
    <t>R_72ZSk6QvARSSrvj</t>
  </si>
  <si>
    <t>98.115.250.207</t>
  </si>
  <si>
    <t>R_5q3TSQI6QGhhCzT</t>
  </si>
  <si>
    <t xml:space="preserve">I have kids who enjoy most of the content </t>
  </si>
  <si>
    <t>68.95.99.9</t>
  </si>
  <si>
    <t>R_674sTQixyebtHsl</t>
  </si>
  <si>
    <t>Frequency in new material and renewed series</t>
  </si>
  <si>
    <t>166.198.251.117</t>
  </si>
  <si>
    <t>R_7I6sxMMUhTZTXd0</t>
  </si>
  <si>
    <t>174.228.98.187</t>
  </si>
  <si>
    <t>R_6M4Bm4UdqQZ7cGe</t>
  </si>
  <si>
    <t>Cost</t>
  </si>
  <si>
    <t>69.129.201.139</t>
  </si>
  <si>
    <t>R_6WBwbe6eGhcNDO9</t>
  </si>
  <si>
    <t>Options and movies</t>
  </si>
  <si>
    <t>45.50.19.40</t>
  </si>
  <si>
    <t>R_63UXNUwfBX2rEzr</t>
  </si>
  <si>
    <t>Wide variety of great programs, movies</t>
  </si>
  <si>
    <t>98.187.137.233</t>
  </si>
  <si>
    <t>R_31cSuUcibJ2P67v</t>
  </si>
  <si>
    <t>It has content that I love. It isn't glitchy</t>
  </si>
  <si>
    <t>174.218.82.218</t>
  </si>
  <si>
    <t>R_6qId9hle9eQrLEZ</t>
  </si>
  <si>
    <t>166.194.188.73</t>
  </si>
  <si>
    <t>R_7S2dmfcImtPm61L</t>
  </si>
  <si>
    <t>Ease of use</t>
  </si>
  <si>
    <t>96.8.181.44</t>
  </si>
  <si>
    <t>R_56mwUxLsllClm0k</t>
  </si>
  <si>
    <t xml:space="preserve">New shows and movies </t>
  </si>
  <si>
    <t>166.194.143.48</t>
  </si>
  <si>
    <t>R_3Vm4Mn3XmtQFOBW</t>
  </si>
  <si>
    <t>174.233.182.53</t>
  </si>
  <si>
    <t>R_3hxT0Fa09x9ob3E</t>
  </si>
  <si>
    <t>199.33.97.219</t>
  </si>
  <si>
    <t>R_62VmvvQJeNs4z42</t>
  </si>
  <si>
    <t xml:space="preserve">Most options that I enjoy </t>
  </si>
  <si>
    <t>R_1QfFOKZrH3G9PKo</t>
  </si>
  <si>
    <t>172.56.221.80</t>
  </si>
  <si>
    <t>R_6Qrk0Vn5jyvsyZb</t>
  </si>
  <si>
    <t>46.110.178.68</t>
  </si>
  <si>
    <t>R_5eeqaPh4tM7RVBA</t>
  </si>
  <si>
    <t xml:space="preserve">Variety of options that rotate and no ads </t>
  </si>
  <si>
    <t>96.235.170.163</t>
  </si>
  <si>
    <t>R_1kjrMugsCpQsw1j</t>
  </si>
  <si>
    <t>174.65.124.151</t>
  </si>
  <si>
    <t>R_1nJhS6UMRhoehhW</t>
  </si>
  <si>
    <t xml:space="preserve">The show I like is on it </t>
  </si>
  <si>
    <t>68.252.20.239</t>
  </si>
  <si>
    <t>R_1NVEsiRhTQYOGq1</t>
  </si>
  <si>
    <t>125.103.25.178</t>
  </si>
  <si>
    <t>R_4ikSj029XCm4KgV</t>
  </si>
  <si>
    <t>R_5rw7fSu7o833noW</t>
  </si>
  <si>
    <t>Good movies</t>
  </si>
  <si>
    <t>70.95.14.154</t>
  </si>
  <si>
    <t>R_6mVqrmvvNS4opfb</t>
  </si>
  <si>
    <t>73.165.241.59</t>
  </si>
  <si>
    <t>R_7Su948qzfQifJnT</t>
  </si>
  <si>
    <t xml:space="preserve">Affordability </t>
  </si>
  <si>
    <t>71.188.87.72</t>
  </si>
  <si>
    <t>R_5soXWh4QWeArnpx</t>
  </si>
  <si>
    <t>76.32.177.121</t>
  </si>
  <si>
    <t>R_3KGZIf8usWAPUvr</t>
  </si>
  <si>
    <t>Loyalty Index</t>
  </si>
  <si>
    <t>NPS Category</t>
  </si>
  <si>
    <t>Cancelled Past Year</t>
  </si>
  <si>
    <t>Cancelled A Service Within The Last Year</t>
  </si>
  <si>
    <t>Metric</t>
  </si>
  <si>
    <t>Value</t>
  </si>
  <si>
    <t>Valid Responses Analysed</t>
  </si>
  <si>
    <t>Loyalty Metric</t>
  </si>
  <si>
    <t>Mean Loyalty Index</t>
  </si>
  <si>
    <t>Standard Deviation</t>
  </si>
  <si>
    <t>Maximum Loyalty Index</t>
  </si>
  <si>
    <t>Count</t>
  </si>
  <si>
    <t>Percent</t>
  </si>
  <si>
    <t>Promoter</t>
  </si>
  <si>
    <t>Passive</t>
  </si>
  <si>
    <t>Detractor</t>
  </si>
  <si>
    <t>Total</t>
  </si>
  <si>
    <t>Overall NPS</t>
  </si>
  <si>
    <t>Minimum Loyalty Index</t>
  </si>
  <si>
    <t>Cancellation Risk</t>
  </si>
  <si>
    <t>High Risk</t>
  </si>
  <si>
    <t>Low/Moderate Risk</t>
  </si>
  <si>
    <t>Yes</t>
  </si>
  <si>
    <t>No</t>
  </si>
  <si>
    <t>Chi-Square: Past Cancellation x Cancellation Risk</t>
  </si>
  <si>
    <t xml:space="preserve"> </t>
  </si>
  <si>
    <t>High Risk Expected</t>
  </si>
  <si>
    <t>Low/Moderate Risk Expected</t>
  </si>
  <si>
    <t>Test</t>
  </si>
  <si>
    <t>Pearson Chi-Square</t>
  </si>
  <si>
    <t>df</t>
  </si>
  <si>
    <t>Sig. / p-value</t>
  </si>
  <si>
    <t>N of Valid Cases</t>
  </si>
  <si>
    <t>Significance / p-value</t>
  </si>
  <si>
    <t>Degrees of Freedom</t>
  </si>
  <si>
    <t>Table 3. Chi-Square Test: Past Cancellation and Cancellation Risk</t>
  </si>
  <si>
    <t>Past Cancellation x Cancellation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</si>
</sst>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5" formatCode="0.000"/>
    <numFmt numFmtId="177" formatCode="0.0%"/>
    <numFmt numFmtId="178" formatCode="0.0"/>
  </numFmts>
  <fonts count="4" x14ac:knownFonts="1">
    <font>
      <sz val="11"/>
      <color indexed="8"/>
      <name val="Aptos Narrow"/>
      <family val="2"/>
      <scheme val="minor"/>
    </font>
    <font>
      <b/>
      <sz val="11"/>
      <color indexed="8"/>
      <name val="Aptos Narrow"/>
      <family val="2"/>
      <scheme val="minor"/>
    </font>
    <font>
      <sz val="9"/>
      <color indexed="81"/>
      <name val="Tahoma"/>
      <family val="2"/>
    </font>
    <font>
      <b/>
      <sz val="11"/>
      <color rgb="FF000000"/>
      <name val="Aptos Narrow"/>
      <family val="2"/>
      <scheme val="minor"/>
    </font>
  </fonts>
  <fills count="5">
    <fill>
      <patternFill patternType="none"/>
    </fill>
    <fill>
      <patternFill patternType="gray125"/>
    </fill>
    <fill>
      <patternFill patternType="solid">
        <fgColor indexed="22"/>
      </patternFill>
    </fill>
    <fill>
      <patternFill patternType="solid">
        <fgColor theme="3" tint="0.89999084444715716"/>
        <bgColor indexed="64"/>
      </patternFill>
    </fill>
    <fill>
      <patternFill patternType="solid">
        <fgColor rgb="FFE9F2FB"/>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ck">
        <color indexed="64"/>
      </right>
      <top/>
      <bottom/>
      <diagonal/>
    </border>
    <border>
      <left/>
      <right/>
      <top/>
      <bottom style="thick">
        <color indexed="64"/>
      </bottom>
      <diagonal/>
    </border>
    <border>
      <left style="thick">
        <color indexed="64"/>
      </left>
      <right style="medium">
        <color indexed="64"/>
      </right>
      <top style="medium">
        <color indexed="64"/>
      </top>
      <bottom style="thick">
        <color indexed="64"/>
      </bottom>
      <diagonal/>
    </border>
    <border>
      <left/>
      <right style="thick">
        <color indexed="64"/>
      </right>
      <top style="thick">
        <color indexed="64"/>
      </top>
      <bottom style="medium">
        <color indexed="64"/>
      </bottom>
      <diagonal/>
    </border>
    <border>
      <left/>
      <right style="thick">
        <color indexed="64"/>
      </right>
      <top style="medium">
        <color indexed="64"/>
      </top>
      <bottom style="thick">
        <color indexed="64"/>
      </bottom>
      <diagonal/>
    </border>
    <border>
      <left style="medium">
        <color indexed="64"/>
      </left>
      <right style="thin">
        <color indexed="64"/>
      </right>
      <top style="thick">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ck">
        <color indexed="64"/>
      </bottom>
      <diagonal/>
    </border>
    <border>
      <left style="medium">
        <color indexed="64"/>
      </left>
      <right style="medium">
        <color indexed="64"/>
      </right>
      <top style="medium">
        <color indexed="64"/>
      </top>
      <bottom/>
      <diagonal/>
    </border>
  </borders>
  <cellStyleXfs count="1">
    <xf numFmtId="0" fontId="0" fillId="0" borderId="0"/>
  </cellStyleXfs>
  <cellXfs count="56">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0" borderId="0" xfId="0" applyAlignment="1">
      <alignment wrapText="1"/>
    </xf>
    <xf numFmtId="0" fontId="0" fillId="2" borderId="0" xfId="0" applyFill="1" applyAlignment="1">
      <alignment horizontal="left" vertical="top" wrapText="1"/>
    </xf>
    <xf numFmtId="0" fontId="0" fillId="0" borderId="0" xfId="0" applyAlignment="1">
      <alignment horizontal="left" vertical="top" wrapText="1"/>
    </xf>
    <xf numFmtId="0" fontId="0" fillId="3" borderId="0" xfId="0" applyFill="1"/>
    <xf numFmtId="0" fontId="0" fillId="3" borderId="0" xfId="0" applyFill="1" applyAlignment="1">
      <alignment wrapText="1"/>
    </xf>
    <xf numFmtId="0" fontId="0" fillId="0" borderId="0" xfId="0" applyFill="1"/>
    <xf numFmtId="0" fontId="0" fillId="0" borderId="0" xfId="0" applyFill="1" applyAlignment="1">
      <alignment wrapText="1"/>
    </xf>
    <xf numFmtId="0" fontId="0" fillId="0" borderId="0" xfId="0" applyFill="1" applyAlignment="1">
      <alignment horizontal="left" vertical="top" wrapText="1"/>
    </xf>
    <xf numFmtId="22" fontId="0" fillId="0" borderId="0" xfId="0" applyNumberFormat="1" applyFill="1"/>
    <xf numFmtId="49" fontId="0" fillId="0" borderId="0" xfId="0" applyNumberFormat="1" applyFill="1" applyAlignment="1">
      <alignment wrapText="1"/>
    </xf>
    <xf numFmtId="0" fontId="0" fillId="0" borderId="0" xfId="0" applyNumberFormat="1" applyFill="1"/>
    <xf numFmtId="0" fontId="0" fillId="0" borderId="0" xfId="0" applyNumberFormat="1" applyFill="1" applyAlignment="1">
      <alignment horizontal="left" vertical="top" wrapText="1"/>
    </xf>
    <xf numFmtId="0" fontId="0" fillId="0" borderId="0" xfId="0" applyNumberFormat="1"/>
    <xf numFmtId="2" fontId="0" fillId="0" borderId="0" xfId="0" applyNumberFormat="1" applyFill="1"/>
    <xf numFmtId="178" fontId="0" fillId="0" borderId="0" xfId="0" applyNumberFormat="1"/>
    <xf numFmtId="10" fontId="0" fillId="0" borderId="0" xfId="0" applyNumberFormat="1"/>
    <xf numFmtId="22" fontId="0" fillId="0" borderId="0" xfId="0" applyNumberFormat="1" applyAlignment="1">
      <alignment wrapText="1"/>
    </xf>
    <xf numFmtId="2" fontId="0" fillId="0" borderId="0" xfId="0" applyNumberFormat="1"/>
    <xf numFmtId="0" fontId="0" fillId="0" borderId="2" xfId="0" applyBorder="1"/>
    <xf numFmtId="0" fontId="0" fillId="0" borderId="6" xfId="0" applyBorder="1"/>
    <xf numFmtId="0" fontId="0" fillId="0" borderId="9" xfId="0" applyBorder="1"/>
    <xf numFmtId="0" fontId="0" fillId="0" borderId="10" xfId="0" applyBorder="1"/>
    <xf numFmtId="0" fontId="0" fillId="0" borderId="11" xfId="0" applyBorder="1"/>
    <xf numFmtId="0" fontId="0" fillId="0" borderId="5" xfId="0" applyBorder="1"/>
    <xf numFmtId="0" fontId="0" fillId="0" borderId="7" xfId="0" applyBorder="1"/>
    <xf numFmtId="0" fontId="0" fillId="0" borderId="12" xfId="0" applyBorder="1"/>
    <xf numFmtId="22" fontId="0" fillId="0" borderId="12" xfId="0" applyNumberFormat="1" applyBorder="1"/>
    <xf numFmtId="0" fontId="0" fillId="0" borderId="13" xfId="0" applyBorder="1"/>
    <xf numFmtId="0" fontId="0" fillId="3" borderId="7" xfId="0" applyFill="1" applyBorder="1"/>
    <xf numFmtId="22" fontId="0" fillId="3" borderId="14" xfId="0" applyNumberFormat="1" applyFill="1" applyBorder="1"/>
    <xf numFmtId="0" fontId="0" fillId="3" borderId="16" xfId="0" applyFill="1" applyBorder="1"/>
    <xf numFmtId="0" fontId="0" fillId="0" borderId="17" xfId="0" applyBorder="1"/>
    <xf numFmtId="0" fontId="0" fillId="0" borderId="18" xfId="0" applyBorder="1"/>
    <xf numFmtId="177" fontId="0" fillId="0" borderId="11" xfId="0" applyNumberFormat="1" applyBorder="1"/>
    <xf numFmtId="177" fontId="0" fillId="0" borderId="15" xfId="0" applyNumberFormat="1" applyBorder="1"/>
    <xf numFmtId="175" fontId="0" fillId="0" borderId="5" xfId="0" applyNumberFormat="1" applyBorder="1"/>
    <xf numFmtId="0" fontId="0" fillId="3" borderId="1" xfId="0" applyFill="1" applyBorder="1"/>
    <xf numFmtId="0" fontId="0" fillId="3" borderId="8" xfId="0" applyFill="1" applyBorder="1"/>
    <xf numFmtId="0" fontId="1" fillId="0" borderId="0" xfId="0" applyFont="1"/>
    <xf numFmtId="2" fontId="0" fillId="0" borderId="5" xfId="0" applyNumberFormat="1" applyFill="1" applyBorder="1"/>
    <xf numFmtId="0" fontId="0" fillId="0" borderId="5" xfId="0" applyFill="1" applyBorder="1"/>
    <xf numFmtId="0" fontId="0" fillId="0" borderId="7" xfId="0" applyFill="1" applyBorder="1"/>
    <xf numFmtId="0" fontId="0" fillId="0" borderId="9" xfId="0" applyFill="1" applyBorder="1"/>
    <xf numFmtId="0" fontId="0" fillId="0" borderId="10" xfId="0" applyFill="1" applyBorder="1"/>
    <xf numFmtId="0" fontId="0" fillId="3" borderId="1" xfId="0" applyFill="1" applyBorder="1" applyAlignment="1">
      <alignment horizontal="left" vertical="top" wrapText="1"/>
    </xf>
    <xf numFmtId="0" fontId="0" fillId="3" borderId="8" xfId="0" applyFill="1" applyBorder="1" applyAlignment="1">
      <alignment horizontal="left" vertical="top" wrapText="1"/>
    </xf>
    <xf numFmtId="0" fontId="0" fillId="0" borderId="19" xfId="0" applyBorder="1"/>
    <xf numFmtId="0" fontId="0" fillId="3" borderId="3" xfId="0" applyFill="1" applyBorder="1" applyAlignment="1">
      <alignment horizontal="center"/>
    </xf>
    <xf numFmtId="0" fontId="0" fillId="3" borderId="4" xfId="0" applyFill="1" applyBorder="1" applyAlignment="1">
      <alignment horizontal="center"/>
    </xf>
    <xf numFmtId="0" fontId="3" fillId="3" borderId="2" xfId="0" applyFont="1" applyFill="1" applyBorder="1" applyAlignment="1">
      <alignment horizontal="center"/>
    </xf>
    <xf numFmtId="0" fontId="0" fillId="4" borderId="1" xfId="0" applyFill="1" applyBorder="1"/>
    <xf numFmtId="0" fontId="0" fillId="4" borderId="19" xfId="0" applyFill="1" applyBorder="1"/>
  </cellXfs>
  <cellStyles count="1">
    <cellStyle name="Normal" xfId="0" builtinId="0"/>
  </cellStyles>
  <dxfs count="0"/>
  <tableStyles count="0" defaultTableStyle="TableStyleMedium2" defaultPivotStyle="PivotStyleLight16"/>
  <colors>
    <mruColors>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Net Promoter Score Categories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Tables'!$A$17</c:f>
              <c:strCache>
                <c:ptCount val="1"/>
                <c:pt idx="0">
                  <c:v>Promoter</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Tables'!$B$16:$C$16</c:f>
              <c:strCache>
                <c:ptCount val="2"/>
                <c:pt idx="0">
                  <c:v>Count</c:v>
                </c:pt>
                <c:pt idx="1">
                  <c:v>Percent</c:v>
                </c:pt>
              </c:strCache>
            </c:strRef>
          </c:cat>
          <c:val>
            <c:numRef>
              <c:f>'Analysis Tables'!$B$17:$C$17</c:f>
              <c:numCache>
                <c:formatCode>0.00%</c:formatCode>
                <c:ptCount val="2"/>
                <c:pt idx="0" formatCode="General">
                  <c:v>14</c:v>
                </c:pt>
                <c:pt idx="1">
                  <c:v>0.4</c:v>
                </c:pt>
              </c:numCache>
            </c:numRef>
          </c:val>
          <c:extLst>
            <c:ext xmlns:c16="http://schemas.microsoft.com/office/drawing/2014/chart" uri="{C3380CC4-5D6E-409C-BE32-E72D297353CC}">
              <c16:uniqueId val="{00000000-EDAB-45CC-A9D2-3BE831F4281B}"/>
            </c:ext>
          </c:extLst>
        </c:ser>
        <c:ser>
          <c:idx val="1"/>
          <c:order val="1"/>
          <c:tx>
            <c:strRef>
              <c:f>'Analysis Tables'!$A$18</c:f>
              <c:strCache>
                <c:ptCount val="1"/>
                <c:pt idx="0">
                  <c:v>Passive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Tables'!$B$16:$C$16</c:f>
              <c:strCache>
                <c:ptCount val="2"/>
                <c:pt idx="0">
                  <c:v>Count</c:v>
                </c:pt>
                <c:pt idx="1">
                  <c:v>Percent</c:v>
                </c:pt>
              </c:strCache>
            </c:strRef>
          </c:cat>
          <c:val>
            <c:numRef>
              <c:f>'Analysis Tables'!$B$18:$C$18</c:f>
              <c:numCache>
                <c:formatCode>0.00%</c:formatCode>
                <c:ptCount val="2"/>
                <c:pt idx="0" formatCode="General">
                  <c:v>14</c:v>
                </c:pt>
                <c:pt idx="1">
                  <c:v>0.4</c:v>
                </c:pt>
              </c:numCache>
            </c:numRef>
          </c:val>
          <c:extLst>
            <c:ext xmlns:c16="http://schemas.microsoft.com/office/drawing/2014/chart" uri="{C3380CC4-5D6E-409C-BE32-E72D297353CC}">
              <c16:uniqueId val="{00000001-EDAB-45CC-A9D2-3BE831F4281B}"/>
            </c:ext>
          </c:extLst>
        </c:ser>
        <c:ser>
          <c:idx val="2"/>
          <c:order val="2"/>
          <c:tx>
            <c:strRef>
              <c:f>'Analysis Tables'!$A$19</c:f>
              <c:strCache>
                <c:ptCount val="1"/>
                <c:pt idx="0">
                  <c:v>Detractor</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Tables'!$B$16:$C$16</c:f>
              <c:strCache>
                <c:ptCount val="2"/>
                <c:pt idx="0">
                  <c:v>Count</c:v>
                </c:pt>
                <c:pt idx="1">
                  <c:v>Percent</c:v>
                </c:pt>
              </c:strCache>
            </c:strRef>
          </c:cat>
          <c:val>
            <c:numRef>
              <c:f>'Analysis Tables'!$B$19:$C$19</c:f>
              <c:numCache>
                <c:formatCode>0.00%</c:formatCode>
                <c:ptCount val="2"/>
                <c:pt idx="0" formatCode="General">
                  <c:v>7</c:v>
                </c:pt>
                <c:pt idx="1">
                  <c:v>0.2</c:v>
                </c:pt>
              </c:numCache>
            </c:numRef>
          </c:val>
          <c:extLst>
            <c:ext xmlns:c16="http://schemas.microsoft.com/office/drawing/2014/chart" uri="{C3380CC4-5D6E-409C-BE32-E72D297353CC}">
              <c16:uniqueId val="{00000002-EDAB-45CC-A9D2-3BE831F4281B}"/>
            </c:ext>
          </c:extLst>
        </c:ser>
        <c:dLbls>
          <c:dLblPos val="outEnd"/>
          <c:showLegendKey val="0"/>
          <c:showVal val="1"/>
          <c:showCatName val="0"/>
          <c:showSerName val="0"/>
          <c:showPercent val="0"/>
          <c:showBubbleSize val="0"/>
        </c:dLbls>
        <c:gapWidth val="164"/>
        <c:overlap val="-22"/>
        <c:axId val="266947423"/>
        <c:axId val="1389896688"/>
      </c:barChart>
      <c:catAx>
        <c:axId val="2669474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896688"/>
        <c:crosses val="autoZero"/>
        <c:auto val="1"/>
        <c:lblAlgn val="ctr"/>
        <c:lblOffset val="100"/>
        <c:noMultiLvlLbl val="0"/>
      </c:catAx>
      <c:valAx>
        <c:axId val="1389896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Response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4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latin typeface="Aptos" panose="020B0004020202020204" pitchFamily="34" charset="0"/>
              </a:rPr>
              <a:t>Net Promoter Score Categories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dLbls>
            <c:dLbl>
              <c:idx val="0"/>
              <c:tx>
                <c:rich>
                  <a:bodyPr/>
                  <a:lstStyle/>
                  <a:p>
                    <a:fld id="{27DEE4D1-F31C-41C6-95C6-958972358E6F}"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79D-4081-8C8E-D51D00E6AEDA}"/>
                </c:ext>
              </c:extLst>
            </c:dLbl>
            <c:dLbl>
              <c:idx val="1"/>
              <c:tx>
                <c:rich>
                  <a:bodyPr/>
                  <a:lstStyle/>
                  <a:p>
                    <a:fld id="{D4406D07-C069-4D16-BC8D-EFBCED98A6B8}"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79D-4081-8C8E-D51D00E6AEDA}"/>
                </c:ext>
              </c:extLst>
            </c:dLbl>
            <c:dLbl>
              <c:idx val="2"/>
              <c:tx>
                <c:rich>
                  <a:bodyPr/>
                  <a:lstStyle/>
                  <a:p>
                    <a:fld id="{EADCE799-81FE-488A-803F-2720E91450B0}"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79D-4081-8C8E-D51D00E6AE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Tables'!$A$17:$A$19</c:f>
              <c:strCache>
                <c:ptCount val="3"/>
                <c:pt idx="0">
                  <c:v>Promoter</c:v>
                </c:pt>
                <c:pt idx="1">
                  <c:v>Passive</c:v>
                </c:pt>
                <c:pt idx="2">
                  <c:v>Detractor</c:v>
                </c:pt>
              </c:strCache>
            </c:strRef>
          </c:cat>
          <c:val>
            <c:numRef>
              <c:f>'Analysis Tables'!$C$17:$C$19</c:f>
              <c:numCache>
                <c:formatCode>0.00%</c:formatCode>
                <c:ptCount val="3"/>
                <c:pt idx="0">
                  <c:v>0.4</c:v>
                </c:pt>
                <c:pt idx="1">
                  <c:v>0.4</c:v>
                </c:pt>
                <c:pt idx="2">
                  <c:v>0.2</c:v>
                </c:pt>
              </c:numCache>
            </c:numRef>
          </c:val>
          <c:extLst>
            <c:ext xmlns:c16="http://schemas.microsoft.com/office/drawing/2014/chart" uri="{C3380CC4-5D6E-409C-BE32-E72D297353CC}">
              <c16:uniqueId val="{00000000-679D-4081-8C8E-D51D00E6AEDA}"/>
            </c:ext>
          </c:extLst>
        </c:ser>
        <c:dLbls>
          <c:dLblPos val="ctr"/>
          <c:showLegendKey val="0"/>
          <c:showVal val="1"/>
          <c:showCatName val="0"/>
          <c:showSerName val="0"/>
          <c:showPercent val="0"/>
          <c:showBubbleSize val="0"/>
        </c:dLbls>
        <c:gapWidth val="79"/>
        <c:overlap val="100"/>
        <c:axId val="1604279344"/>
        <c:axId val="1389828048"/>
      </c:barChart>
      <c:catAx>
        <c:axId val="160427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9828048"/>
        <c:crosses val="autoZero"/>
        <c:auto val="1"/>
        <c:lblAlgn val="ctr"/>
        <c:lblOffset val="100"/>
        <c:noMultiLvlLbl val="0"/>
      </c:catAx>
      <c:valAx>
        <c:axId val="1389828048"/>
        <c:scaling>
          <c:orientation val="minMax"/>
        </c:scaling>
        <c:delete val="1"/>
        <c:axPos val="b"/>
        <c:numFmt formatCode="0.00%" sourceLinked="1"/>
        <c:majorTickMark val="none"/>
        <c:minorTickMark val="none"/>
        <c:tickLblPos val="nextTo"/>
        <c:crossAx val="160427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241300</xdr:colOff>
      <xdr:row>9</xdr:row>
      <xdr:rowOff>139700</xdr:rowOff>
    </xdr:from>
    <xdr:to>
      <xdr:col>8</xdr:col>
      <xdr:colOff>50800</xdr:colOff>
      <xdr:row>24</xdr:row>
      <xdr:rowOff>120650</xdr:rowOff>
    </xdr:to>
    <xdr:graphicFrame macro="">
      <xdr:nvGraphicFramePr>
        <xdr:cNvPr id="2" name="Chart 1">
          <a:extLst>
            <a:ext uri="{FF2B5EF4-FFF2-40B4-BE49-F238E27FC236}">
              <a16:creationId xmlns:a16="http://schemas.microsoft.com/office/drawing/2014/main" id="{CC71C397-E5EA-0874-8467-0272F822C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501650</xdr:colOff>
      <xdr:row>8</xdr:row>
      <xdr:rowOff>139700</xdr:rowOff>
    </xdr:from>
    <xdr:to>
      <xdr:col>12</xdr:col>
      <xdr:colOff>285750</xdr:colOff>
      <xdr:row>24</xdr:row>
      <xdr:rowOff>114300</xdr:rowOff>
    </xdr:to>
    <xdr:graphicFrame macro="">
      <xdr:nvGraphicFramePr>
        <xdr:cNvPr id="3" name="Chart 2">
          <a:extLst>
            <a:ext uri="{FF2B5EF4-FFF2-40B4-BE49-F238E27FC236}">
              <a16:creationId xmlns:a16="http://schemas.microsoft.com/office/drawing/2014/main" id="{1E0BFAEA-D1E5-1490-9265-ED7CD38BE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ennon Holton-Tran" id="{A25F5E53-C6D6-4CE3-A57F-0879E63EC03B}" userId="S::kholtontran@cpp.edu::2c93ada2-a120-4c9f-bf2f-083c765ae9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7" dT="2026-07-05T00:20:35.72" personId="{A25F5E53-C6D6-4CE3-A57F-0879E63EC03B}" id="{B7CCF2E6-5047-4B40-9974-D7F96FFC5CFA}">
    <text>Loyalty Score based on Past Cancellation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A544-1676-4E11-BD86-48DBDD5D4FD6}">
  <dimension ref="A1:AM63"/>
  <sheetViews>
    <sheetView tabSelected="1" topLeftCell="A21" workbookViewId="0">
      <selection activeCell="A71" sqref="A71"/>
    </sheetView>
  </sheetViews>
  <sheetFormatPr defaultRowHeight="14.5" x14ac:dyDescent="0.35"/>
  <cols>
    <col min="1" max="1" width="25" customWidth="1"/>
    <col min="2" max="2" width="16.36328125" style="16" customWidth="1"/>
    <col min="3" max="3" width="19.54296875" customWidth="1"/>
    <col min="4" max="4" width="11.54296875" bestFit="1" customWidth="1"/>
    <col min="5" max="5" width="22.54296875" customWidth="1"/>
    <col min="6" max="6" width="20.54296875" bestFit="1" customWidth="1"/>
    <col min="7" max="7" width="9.90625" bestFit="1" customWidth="1"/>
    <col min="8" max="8" width="17.26953125" customWidth="1"/>
    <col min="9" max="9" width="13.08984375" bestFit="1" customWidth="1"/>
    <col min="10" max="10" width="17.1796875" bestFit="1" customWidth="1"/>
    <col min="11" max="11" width="18.453125" bestFit="1" customWidth="1"/>
    <col min="12" max="12" width="19.81640625" bestFit="1" customWidth="1"/>
    <col min="13" max="13" width="15" bestFit="1" customWidth="1"/>
    <col min="14" max="29" width="39.7265625" customWidth="1"/>
    <col min="30" max="30" width="39.7265625" hidden="1" customWidth="1"/>
    <col min="31" max="35" width="39.7265625" customWidth="1"/>
    <col min="36" max="42" width="19.81640625" customWidth="1"/>
  </cols>
  <sheetData>
    <row r="1" spans="1:39" ht="15" thickBot="1" x14ac:dyDescent="0.4">
      <c r="A1" s="9" t="s">
        <v>180</v>
      </c>
      <c r="B1" s="14" t="s">
        <v>181</v>
      </c>
      <c r="C1" s="9"/>
      <c r="D1" s="9"/>
      <c r="E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10"/>
    </row>
    <row r="2" spans="1:39" s="6" customFormat="1" ht="17.5" customHeight="1" thickBot="1" x14ac:dyDescent="0.4">
      <c r="A2" s="11" t="s">
        <v>182</v>
      </c>
      <c r="B2" s="15">
        <f>ROWS('Analysis Data'!AJ3:AJ39)</f>
        <v>37</v>
      </c>
      <c r="C2" s="11"/>
      <c r="D2" s="11"/>
      <c r="E2" s="48" t="s">
        <v>183</v>
      </c>
      <c r="F2" s="49" t="s">
        <v>181</v>
      </c>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9"/>
      <c r="AK2" s="9"/>
      <c r="AL2" s="9"/>
      <c r="AM2" s="10"/>
    </row>
    <row r="3" spans="1:39" x14ac:dyDescent="0.35">
      <c r="A3" s="12"/>
      <c r="B3" s="14"/>
      <c r="C3" s="9"/>
      <c r="D3" s="13"/>
      <c r="E3" s="46" t="s">
        <v>184</v>
      </c>
      <c r="F3" s="43">
        <v>3.8864864864864845</v>
      </c>
      <c r="G3" s="9"/>
      <c r="H3" s="12"/>
      <c r="I3" s="13"/>
      <c r="J3" s="9"/>
      <c r="K3" s="9"/>
      <c r="L3" s="13"/>
      <c r="M3" s="13"/>
      <c r="N3" s="9"/>
      <c r="O3" s="9"/>
      <c r="P3" s="13"/>
      <c r="Q3" s="13"/>
      <c r="R3" s="13"/>
      <c r="S3" s="13"/>
      <c r="T3" s="13"/>
      <c r="U3" s="13"/>
      <c r="V3" s="13"/>
      <c r="W3" s="13"/>
      <c r="X3" s="13"/>
      <c r="Y3" s="9"/>
      <c r="Z3" s="9"/>
      <c r="AA3" s="9"/>
      <c r="AB3" s="9"/>
      <c r="AC3" s="9"/>
      <c r="AD3" s="9"/>
      <c r="AE3" s="9"/>
      <c r="AF3" s="9"/>
      <c r="AG3" s="9"/>
      <c r="AH3" s="9"/>
      <c r="AI3" s="13"/>
      <c r="AJ3" s="9"/>
      <c r="AK3" s="9"/>
      <c r="AL3" s="9"/>
      <c r="AM3" s="9"/>
    </row>
    <row r="4" spans="1:39" x14ac:dyDescent="0.35">
      <c r="A4" s="12"/>
      <c r="B4" s="14"/>
      <c r="C4" s="9"/>
      <c r="D4" s="13"/>
      <c r="E4" s="46" t="s">
        <v>185</v>
      </c>
      <c r="F4" s="43">
        <v>0.89136666671720854</v>
      </c>
      <c r="G4" s="9"/>
      <c r="H4" s="12"/>
      <c r="I4" s="13"/>
      <c r="J4" s="9"/>
      <c r="K4" s="9"/>
      <c r="L4" s="13"/>
      <c r="M4" s="13"/>
      <c r="N4" s="9"/>
      <c r="O4" s="9"/>
      <c r="P4" s="9"/>
      <c r="Q4" s="9"/>
      <c r="R4" s="9"/>
      <c r="S4" s="9"/>
      <c r="T4" s="9"/>
      <c r="U4" s="9"/>
      <c r="V4" s="9"/>
      <c r="W4" s="9"/>
      <c r="X4" s="9"/>
      <c r="Y4" s="9"/>
      <c r="Z4" s="9"/>
      <c r="AA4" s="9"/>
      <c r="AB4" s="9"/>
      <c r="AC4" s="9"/>
      <c r="AD4" s="9"/>
      <c r="AE4" s="9"/>
      <c r="AF4" s="9"/>
      <c r="AG4" s="9"/>
      <c r="AH4" s="9"/>
      <c r="AI4" s="13"/>
      <c r="AJ4" s="9"/>
      <c r="AK4" s="9"/>
      <c r="AL4" s="9"/>
      <c r="AM4" s="9"/>
    </row>
    <row r="5" spans="1:39" x14ac:dyDescent="0.35">
      <c r="A5" s="12"/>
      <c r="B5" s="14"/>
      <c r="C5" s="9"/>
      <c r="D5" s="13"/>
      <c r="E5" s="46" t="s">
        <v>194</v>
      </c>
      <c r="F5" s="44">
        <v>1</v>
      </c>
      <c r="G5" s="9"/>
      <c r="H5" s="12"/>
      <c r="I5" s="13"/>
      <c r="J5" s="9"/>
      <c r="K5" s="9"/>
      <c r="L5" s="13"/>
      <c r="M5" s="13"/>
      <c r="N5" s="9"/>
      <c r="O5" s="9"/>
      <c r="P5" s="9"/>
      <c r="Q5" s="9"/>
      <c r="R5" s="9"/>
      <c r="S5" s="9"/>
      <c r="T5" s="9"/>
      <c r="U5" s="9"/>
      <c r="V5" s="9"/>
      <c r="W5" s="9"/>
      <c r="X5" s="9"/>
      <c r="Y5" s="9"/>
      <c r="Z5" s="9"/>
      <c r="AA5" s="9"/>
      <c r="AB5" s="9"/>
      <c r="AC5" s="9"/>
      <c r="AD5" s="9"/>
      <c r="AE5" s="9"/>
      <c r="AF5" s="9"/>
      <c r="AG5" s="9"/>
      <c r="AH5" s="9"/>
      <c r="AI5" s="13"/>
      <c r="AJ5" s="9"/>
      <c r="AK5" s="9"/>
      <c r="AL5" s="9"/>
      <c r="AM5" s="9"/>
    </row>
    <row r="6" spans="1:39" ht="15" thickBot="1" x14ac:dyDescent="0.4">
      <c r="A6" s="12" t="s">
        <v>183</v>
      </c>
      <c r="B6" s="14" t="s">
        <v>181</v>
      </c>
      <c r="C6" s="9"/>
      <c r="D6" s="13"/>
      <c r="E6" s="47" t="s">
        <v>186</v>
      </c>
      <c r="F6" s="45">
        <v>5</v>
      </c>
      <c r="G6" s="9"/>
      <c r="H6" s="12"/>
      <c r="I6" s="13"/>
      <c r="J6" s="9"/>
      <c r="K6" s="9"/>
      <c r="L6" s="13"/>
      <c r="M6" s="13"/>
      <c r="N6" s="9"/>
      <c r="O6" s="9"/>
      <c r="P6" s="9"/>
      <c r="Q6" s="9"/>
      <c r="R6" s="9"/>
      <c r="S6" s="9"/>
      <c r="T6" s="9"/>
      <c r="U6" s="9"/>
      <c r="V6" s="9"/>
      <c r="W6" s="9"/>
      <c r="X6" s="9"/>
      <c r="Y6" s="9"/>
      <c r="Z6" s="9"/>
      <c r="AA6" s="9"/>
      <c r="AB6" s="9"/>
      <c r="AC6" s="9"/>
      <c r="AD6" s="9"/>
      <c r="AE6" s="9"/>
      <c r="AF6" s="9"/>
      <c r="AG6" s="9"/>
      <c r="AH6" s="9"/>
      <c r="AI6" s="13"/>
      <c r="AJ6" s="9"/>
      <c r="AK6" s="9"/>
      <c r="AL6" s="9"/>
      <c r="AM6" s="9"/>
    </row>
    <row r="7" spans="1:39" x14ac:dyDescent="0.35">
      <c r="A7" s="12" t="s">
        <v>184</v>
      </c>
      <c r="B7" s="17">
        <f>AVERAGE('Analysis Data'!AJ3:AJ39)</f>
        <v>3.8864864864864845</v>
      </c>
      <c r="C7" s="9"/>
      <c r="D7" s="13"/>
      <c r="E7" s="9"/>
      <c r="F7" s="9"/>
      <c r="G7" s="9"/>
      <c r="H7" s="12"/>
      <c r="I7" s="13"/>
      <c r="J7" s="9"/>
      <c r="K7" s="9"/>
      <c r="L7" s="13"/>
      <c r="M7" s="13"/>
      <c r="N7" s="9"/>
      <c r="O7" s="9"/>
      <c r="P7" s="9"/>
      <c r="Q7" s="9"/>
      <c r="R7" s="9"/>
      <c r="S7" s="9"/>
      <c r="T7" s="9"/>
      <c r="U7" s="9"/>
      <c r="V7" s="9"/>
      <c r="W7" s="9"/>
      <c r="X7" s="9"/>
      <c r="Y7" s="9"/>
      <c r="Z7" s="9"/>
      <c r="AA7" s="9"/>
      <c r="AB7" s="9"/>
      <c r="AC7" s="9"/>
      <c r="AD7" s="9"/>
      <c r="AE7" s="9"/>
      <c r="AF7" s="9"/>
      <c r="AG7" s="9"/>
      <c r="AH7" s="9"/>
      <c r="AI7" s="13"/>
      <c r="AJ7" s="9"/>
      <c r="AK7" s="9"/>
      <c r="AL7" s="9"/>
      <c r="AM7" s="9"/>
    </row>
    <row r="8" spans="1:39" x14ac:dyDescent="0.35">
      <c r="A8" s="12" t="s">
        <v>185</v>
      </c>
      <c r="B8" s="17">
        <f>_xlfn.STDEV.S('Analysis Data'!AJ3:AJ39)</f>
        <v>0.89136666671720854</v>
      </c>
      <c r="C8" s="9"/>
      <c r="D8" s="13"/>
      <c r="E8" s="9"/>
      <c r="F8" s="9"/>
      <c r="G8" s="9"/>
      <c r="H8" s="12"/>
      <c r="I8" s="13"/>
      <c r="J8" s="9"/>
      <c r="K8" s="9"/>
      <c r="L8" s="13"/>
      <c r="M8" s="13"/>
      <c r="N8" s="9"/>
      <c r="O8" s="9"/>
      <c r="P8" s="9"/>
      <c r="Q8" s="9"/>
      <c r="R8" s="9"/>
      <c r="S8" s="9"/>
      <c r="T8" s="9"/>
      <c r="U8" s="9"/>
      <c r="V8" s="9"/>
      <c r="W8" s="9"/>
      <c r="X8" s="9"/>
      <c r="Y8" s="9"/>
      <c r="Z8" s="9"/>
      <c r="AA8" s="9"/>
      <c r="AB8" s="9"/>
      <c r="AC8" s="9"/>
      <c r="AD8" s="9"/>
      <c r="AE8" s="9"/>
      <c r="AF8" s="9"/>
      <c r="AG8" s="9"/>
      <c r="AH8" s="9"/>
      <c r="AI8" s="13"/>
      <c r="AJ8" s="9"/>
      <c r="AK8" s="9"/>
      <c r="AL8" s="9"/>
      <c r="AM8" s="9"/>
    </row>
    <row r="9" spans="1:39" x14ac:dyDescent="0.35">
      <c r="A9" s="12" t="s">
        <v>194</v>
      </c>
      <c r="B9" s="14">
        <f>MIN('Analysis Data'!AJ3:AJ39)</f>
        <v>1</v>
      </c>
      <c r="C9" s="9"/>
      <c r="D9" s="13"/>
      <c r="E9" s="9"/>
      <c r="F9" s="9"/>
      <c r="G9" s="9"/>
      <c r="H9" s="12"/>
      <c r="I9" s="13"/>
      <c r="J9" s="9"/>
      <c r="K9" s="9"/>
      <c r="L9" s="13"/>
      <c r="M9" s="13"/>
      <c r="N9" s="9"/>
      <c r="O9" s="9"/>
      <c r="P9" s="9"/>
      <c r="Q9" s="9"/>
      <c r="R9" s="9"/>
      <c r="S9" s="9"/>
      <c r="T9" s="9"/>
      <c r="U9" s="9"/>
      <c r="V9" s="9"/>
      <c r="W9" s="9"/>
      <c r="X9" s="9"/>
      <c r="Y9" s="9"/>
      <c r="Z9" s="9"/>
      <c r="AA9" s="9"/>
      <c r="AB9" s="9"/>
      <c r="AC9" s="9"/>
      <c r="AD9" s="9"/>
      <c r="AE9" s="9"/>
      <c r="AF9" s="9"/>
      <c r="AG9" s="9"/>
      <c r="AH9" s="9"/>
      <c r="AI9" s="13"/>
      <c r="AJ9" s="9"/>
      <c r="AK9" s="9"/>
      <c r="AL9" s="9"/>
      <c r="AM9" s="9"/>
    </row>
    <row r="10" spans="1:39" x14ac:dyDescent="0.35">
      <c r="A10" s="12" t="s">
        <v>186</v>
      </c>
      <c r="B10" s="14">
        <f>MAX('Analysis Data'!AJ3:AJ39)</f>
        <v>5</v>
      </c>
      <c r="C10" s="9"/>
      <c r="D10" s="13"/>
      <c r="E10" s="9"/>
      <c r="F10" s="9"/>
      <c r="G10" s="9"/>
      <c r="H10" s="12"/>
      <c r="I10" s="13"/>
      <c r="J10" s="9"/>
      <c r="K10" s="9"/>
      <c r="L10" s="13"/>
      <c r="M10" s="13"/>
      <c r="N10" s="9"/>
      <c r="O10" s="9"/>
      <c r="P10" s="9"/>
      <c r="Q10" s="9"/>
      <c r="R10" s="9"/>
      <c r="S10" s="9"/>
      <c r="T10" s="9"/>
      <c r="U10" s="9"/>
      <c r="V10" s="9"/>
      <c r="W10" s="9"/>
      <c r="X10" s="9"/>
      <c r="Y10" s="9"/>
      <c r="Z10" s="9"/>
      <c r="AA10" s="9"/>
      <c r="AB10" s="9"/>
      <c r="AC10" s="9"/>
      <c r="AD10" s="9"/>
      <c r="AE10" s="9"/>
      <c r="AF10" s="9"/>
      <c r="AG10" s="9"/>
      <c r="AH10" s="9"/>
      <c r="AI10" s="13"/>
      <c r="AJ10" s="9"/>
      <c r="AK10" s="9"/>
      <c r="AL10" s="9"/>
      <c r="AM10" s="9"/>
    </row>
    <row r="11" spans="1:39" x14ac:dyDescent="0.35">
      <c r="A11" s="12"/>
      <c r="B11" s="14"/>
      <c r="C11" s="9"/>
      <c r="D11" s="13"/>
      <c r="E11" s="9"/>
      <c r="F11" s="9"/>
      <c r="G11" s="9"/>
      <c r="H11" s="12"/>
      <c r="I11" s="13"/>
      <c r="J11" s="9"/>
      <c r="K11" s="9"/>
      <c r="L11" s="13"/>
      <c r="M11" s="13"/>
      <c r="N11" s="9"/>
      <c r="O11" s="9"/>
      <c r="P11" s="9"/>
      <c r="Q11" s="9"/>
      <c r="R11" s="9"/>
      <c r="S11" s="9"/>
      <c r="T11" s="9"/>
      <c r="U11" s="9"/>
      <c r="V11" s="9"/>
      <c r="W11" s="9"/>
      <c r="X11" s="9"/>
      <c r="Y11" s="9"/>
      <c r="Z11" s="9"/>
      <c r="AA11" s="9"/>
      <c r="AB11" s="9"/>
      <c r="AC11" s="9"/>
      <c r="AD11" s="9"/>
      <c r="AE11" s="9"/>
      <c r="AF11" s="9"/>
      <c r="AG11" s="9"/>
      <c r="AH11" s="9"/>
      <c r="AI11" s="13"/>
      <c r="AJ11" s="9"/>
      <c r="AK11" s="9"/>
      <c r="AL11" s="9"/>
      <c r="AM11" s="9"/>
    </row>
    <row r="12" spans="1:39" x14ac:dyDescent="0.35">
      <c r="A12" s="12"/>
      <c r="B12" s="14"/>
      <c r="C12" s="9"/>
      <c r="D12" s="13"/>
      <c r="E12" s="9"/>
      <c r="F12" s="9"/>
      <c r="G12" s="9"/>
      <c r="H12" s="12"/>
      <c r="I12" s="13"/>
      <c r="J12" s="9"/>
      <c r="K12" s="9"/>
      <c r="L12" s="13"/>
      <c r="M12" s="13"/>
      <c r="N12" s="9"/>
      <c r="O12" s="9"/>
      <c r="P12" s="9"/>
      <c r="Q12" s="9"/>
      <c r="R12" s="9"/>
      <c r="S12" s="9"/>
      <c r="T12" s="9"/>
      <c r="U12" s="9"/>
      <c r="V12" s="9"/>
      <c r="W12" s="9"/>
      <c r="X12" s="9"/>
      <c r="Y12" s="9"/>
      <c r="Z12" s="9"/>
      <c r="AA12" s="9"/>
      <c r="AB12" s="9"/>
      <c r="AC12" s="9"/>
      <c r="AD12" s="9"/>
      <c r="AE12" s="9"/>
      <c r="AF12" s="9"/>
      <c r="AG12" s="9"/>
      <c r="AH12" s="9"/>
      <c r="AI12" s="13"/>
      <c r="AJ12" s="9"/>
      <c r="AK12" s="9"/>
      <c r="AL12" s="9"/>
      <c r="AM12" s="9"/>
    </row>
    <row r="13" spans="1:39" x14ac:dyDescent="0.35">
      <c r="A13" s="12"/>
      <c r="B13" s="14"/>
      <c r="C13" s="9"/>
      <c r="D13" s="13"/>
      <c r="E13" s="9"/>
      <c r="F13" s="9"/>
      <c r="G13" s="9"/>
      <c r="H13" s="12"/>
      <c r="I13" s="13"/>
      <c r="J13" s="9"/>
      <c r="K13" s="9"/>
      <c r="L13" s="13"/>
      <c r="M13" s="13"/>
      <c r="N13" s="9"/>
      <c r="O13" s="9"/>
      <c r="P13" s="9"/>
      <c r="Q13" s="9"/>
      <c r="R13" s="9"/>
      <c r="S13" s="9"/>
      <c r="T13" s="9"/>
      <c r="U13" s="9"/>
      <c r="V13" s="9"/>
      <c r="W13" s="9"/>
      <c r="X13" s="9"/>
      <c r="Y13" s="9"/>
      <c r="Z13" s="9"/>
      <c r="AA13" s="9"/>
      <c r="AB13" s="9"/>
      <c r="AC13" s="9"/>
      <c r="AD13" s="9"/>
      <c r="AE13" s="9"/>
      <c r="AF13" s="9"/>
      <c r="AG13" s="9"/>
      <c r="AH13" s="9"/>
      <c r="AI13" s="13"/>
      <c r="AJ13" s="9"/>
      <c r="AK13" s="9"/>
      <c r="AL13" s="9"/>
      <c r="AM13" s="9"/>
    </row>
    <row r="14" spans="1:39" x14ac:dyDescent="0.35">
      <c r="A14" s="12"/>
      <c r="B14" s="14"/>
      <c r="C14" s="9"/>
      <c r="D14" s="13"/>
      <c r="E14" s="9"/>
      <c r="F14" s="9"/>
      <c r="G14" s="9"/>
      <c r="H14" s="12"/>
      <c r="I14" s="13"/>
      <c r="J14" s="9"/>
      <c r="K14" s="9"/>
      <c r="L14" s="13"/>
      <c r="M14" s="13"/>
      <c r="N14" s="9"/>
      <c r="O14" s="9"/>
      <c r="P14" s="9"/>
      <c r="Q14" s="9"/>
      <c r="R14" s="9"/>
      <c r="S14" s="9"/>
      <c r="T14" s="9"/>
      <c r="U14" s="9"/>
      <c r="V14" s="9"/>
      <c r="W14" s="9"/>
      <c r="X14" s="9"/>
      <c r="Y14" s="9"/>
      <c r="Z14" s="9"/>
      <c r="AA14" s="9"/>
      <c r="AB14" s="9"/>
      <c r="AC14" s="9"/>
      <c r="AD14" s="9"/>
      <c r="AE14" s="9"/>
      <c r="AF14" s="9"/>
      <c r="AG14" s="9"/>
      <c r="AH14" s="9"/>
      <c r="AI14" s="13"/>
      <c r="AJ14" s="9"/>
      <c r="AK14" s="9"/>
      <c r="AL14" s="9"/>
      <c r="AM14" s="9"/>
    </row>
    <row r="15" spans="1:39" x14ac:dyDescent="0.35">
      <c r="A15" s="12"/>
      <c r="B15" s="14"/>
      <c r="C15" s="9"/>
      <c r="D15" s="13"/>
      <c r="E15" s="9"/>
      <c r="F15" s="9"/>
      <c r="G15" s="9"/>
      <c r="H15" s="12"/>
      <c r="I15" s="13"/>
      <c r="J15" s="9"/>
      <c r="K15" s="9"/>
      <c r="L15" s="13"/>
      <c r="M15" s="13"/>
      <c r="N15" s="9"/>
      <c r="O15" s="9"/>
      <c r="P15" s="9"/>
      <c r="Q15" s="9"/>
      <c r="R15" s="9"/>
      <c r="S15" s="9"/>
      <c r="T15" s="9"/>
      <c r="U15" s="9"/>
      <c r="V15" s="9"/>
      <c r="W15" s="9"/>
      <c r="X15" s="9"/>
      <c r="Y15" s="9"/>
      <c r="Z15" s="9"/>
      <c r="AA15" s="9"/>
      <c r="AB15" s="9"/>
      <c r="AC15" s="9"/>
      <c r="AD15" s="9"/>
      <c r="AE15" s="9"/>
      <c r="AF15" s="9"/>
      <c r="AG15" s="9"/>
      <c r="AH15" s="9"/>
      <c r="AI15" s="13"/>
      <c r="AJ15" s="9"/>
      <c r="AK15" s="9"/>
      <c r="AL15" s="9"/>
      <c r="AM15" s="9"/>
    </row>
    <row r="16" spans="1:39" x14ac:dyDescent="0.35">
      <c r="A16" s="12" t="s">
        <v>177</v>
      </c>
      <c r="B16" s="14" t="s">
        <v>187</v>
      </c>
      <c r="C16" s="9" t="s">
        <v>188</v>
      </c>
      <c r="D16" s="13"/>
      <c r="E16" s="9"/>
      <c r="F16" s="9"/>
      <c r="G16" s="9"/>
      <c r="H16" s="12"/>
      <c r="I16" s="13"/>
      <c r="J16" s="9"/>
      <c r="K16" s="9"/>
      <c r="L16" s="13"/>
      <c r="M16" s="13"/>
      <c r="N16" s="9"/>
      <c r="O16" s="9"/>
      <c r="P16" s="9"/>
      <c r="Q16" s="9"/>
      <c r="R16" s="9"/>
      <c r="S16" s="9"/>
      <c r="T16" s="9"/>
      <c r="U16" s="9"/>
      <c r="V16" s="9"/>
      <c r="W16" s="9"/>
      <c r="X16" s="9"/>
      <c r="Y16" s="9"/>
      <c r="Z16" s="9"/>
      <c r="AA16" s="9"/>
      <c r="AB16" s="9"/>
      <c r="AC16" s="9"/>
      <c r="AD16" s="9"/>
      <c r="AE16" s="9"/>
      <c r="AF16" s="9"/>
      <c r="AG16" s="9"/>
      <c r="AH16" s="9"/>
      <c r="AI16" s="13"/>
      <c r="AJ16" s="9"/>
      <c r="AK16" s="9"/>
      <c r="AL16" s="9"/>
      <c r="AM16" s="9"/>
    </row>
    <row r="17" spans="1:39" x14ac:dyDescent="0.35">
      <c r="A17" s="12" t="s">
        <v>189</v>
      </c>
      <c r="B17" s="14">
        <f>COUNTIF('Analysis Data'!AK3:AK39,A17)</f>
        <v>14</v>
      </c>
      <c r="C17" s="19">
        <f>B17/SUM($B$17:$B$19)</f>
        <v>0.4</v>
      </c>
      <c r="D17" s="13"/>
      <c r="E17" s="9"/>
      <c r="F17" s="9"/>
      <c r="G17" s="9"/>
      <c r="H17" s="12"/>
      <c r="I17" s="13"/>
      <c r="J17" s="9"/>
      <c r="K17" s="9"/>
      <c r="L17" s="13"/>
      <c r="M17" s="13"/>
      <c r="N17" s="9"/>
      <c r="O17" s="9"/>
      <c r="P17" s="9"/>
      <c r="Q17" s="9"/>
      <c r="R17" s="9"/>
      <c r="S17" s="9"/>
      <c r="T17" s="9"/>
      <c r="U17" s="9"/>
      <c r="V17" s="9"/>
      <c r="W17" s="9"/>
      <c r="X17" s="9"/>
      <c r="Y17" s="9"/>
      <c r="Z17" s="9"/>
      <c r="AA17" s="9"/>
      <c r="AB17" s="9"/>
      <c r="AC17" s="9"/>
      <c r="AD17" s="9"/>
      <c r="AE17" s="9"/>
      <c r="AF17" s="9"/>
      <c r="AG17" s="9"/>
      <c r="AH17" s="9"/>
      <c r="AI17" s="13"/>
      <c r="AJ17" s="9"/>
      <c r="AK17" s="9"/>
      <c r="AL17" s="9"/>
      <c r="AM17" s="9"/>
    </row>
    <row r="18" spans="1:39" x14ac:dyDescent="0.35">
      <c r="A18" s="12" t="s">
        <v>190</v>
      </c>
      <c r="B18" s="14">
        <f>COUNTIF('Analysis Data'!AK4:AK40,A18)</f>
        <v>14</v>
      </c>
      <c r="C18" s="19">
        <f t="shared" ref="C18:C19" si="0">B18/SUM($B$17:$B$19)</f>
        <v>0.4</v>
      </c>
      <c r="D18" s="13"/>
      <c r="E18" s="9"/>
      <c r="F18" s="9"/>
      <c r="G18" s="9"/>
      <c r="H18" s="12"/>
      <c r="I18" s="13"/>
      <c r="J18" s="9"/>
      <c r="K18" s="9"/>
      <c r="L18" s="13"/>
      <c r="M18" s="13"/>
      <c r="N18" s="9"/>
      <c r="O18" s="9"/>
      <c r="P18" s="9"/>
      <c r="Q18" s="9"/>
      <c r="R18" s="9"/>
      <c r="S18" s="9"/>
      <c r="T18" s="9"/>
      <c r="U18" s="9"/>
      <c r="V18" s="9"/>
      <c r="W18" s="9"/>
      <c r="X18" s="9"/>
      <c r="Y18" s="9"/>
      <c r="Z18" s="9"/>
      <c r="AA18" s="9"/>
      <c r="AB18" s="9"/>
      <c r="AC18" s="9"/>
      <c r="AD18" s="9"/>
      <c r="AE18" s="9"/>
      <c r="AF18" s="9"/>
      <c r="AG18" s="9"/>
      <c r="AH18" s="9"/>
      <c r="AI18" s="13"/>
      <c r="AJ18" s="9"/>
      <c r="AK18" s="9"/>
      <c r="AL18" s="9"/>
      <c r="AM18" s="9"/>
    </row>
    <row r="19" spans="1:39" x14ac:dyDescent="0.35">
      <c r="A19" s="12" t="s">
        <v>191</v>
      </c>
      <c r="B19" s="14">
        <f>COUNTIF('Analysis Data'!AK5:AK41,A19)</f>
        <v>7</v>
      </c>
      <c r="C19" s="19">
        <f t="shared" si="0"/>
        <v>0.2</v>
      </c>
      <c r="D19" s="13"/>
      <c r="E19" s="9"/>
      <c r="F19" s="9"/>
      <c r="G19" s="9"/>
      <c r="H19" s="12"/>
      <c r="I19" s="13"/>
      <c r="J19" s="9"/>
      <c r="K19" s="9"/>
      <c r="L19" s="13"/>
      <c r="M19" s="13"/>
      <c r="N19" s="9"/>
      <c r="O19" s="9"/>
      <c r="P19" s="9"/>
      <c r="Q19" s="9"/>
      <c r="R19" s="9"/>
      <c r="S19" s="9"/>
      <c r="T19" s="9"/>
      <c r="U19" s="9"/>
      <c r="V19" s="9"/>
      <c r="W19" s="9"/>
      <c r="X19" s="9"/>
      <c r="Y19" s="9"/>
      <c r="Z19" s="9"/>
      <c r="AA19" s="9"/>
      <c r="AB19" s="9"/>
      <c r="AC19" s="9"/>
      <c r="AD19" s="9"/>
      <c r="AE19" s="9"/>
      <c r="AF19" s="9"/>
      <c r="AG19" s="9"/>
      <c r="AH19" s="9"/>
      <c r="AI19" s="13"/>
      <c r="AJ19" s="9"/>
      <c r="AK19" s="9"/>
      <c r="AL19" s="9"/>
      <c r="AM19" s="9"/>
    </row>
    <row r="20" spans="1:39" x14ac:dyDescent="0.35">
      <c r="A20" s="12" t="s">
        <v>192</v>
      </c>
      <c r="B20" s="14">
        <f>SUM(B17:B19)</f>
        <v>35</v>
      </c>
      <c r="C20" s="19">
        <f>SUM(C17:C19)</f>
        <v>1</v>
      </c>
      <c r="D20" s="13"/>
      <c r="E20" s="9"/>
      <c r="F20" s="9"/>
      <c r="G20" s="9"/>
      <c r="H20" s="12"/>
      <c r="I20" s="13"/>
      <c r="J20" s="9"/>
      <c r="K20" s="9"/>
      <c r="L20" s="13"/>
      <c r="M20" s="13"/>
      <c r="N20" s="9"/>
      <c r="O20" s="9"/>
      <c r="P20" s="9"/>
      <c r="Q20" s="9"/>
      <c r="R20" s="9"/>
      <c r="S20" s="9"/>
      <c r="T20" s="9"/>
      <c r="U20" s="9"/>
      <c r="V20" s="9"/>
      <c r="W20" s="9"/>
      <c r="X20" s="9"/>
      <c r="Y20" s="9"/>
      <c r="Z20" s="9"/>
      <c r="AA20" s="9"/>
      <c r="AB20" s="9"/>
      <c r="AC20" s="9"/>
      <c r="AD20" s="9"/>
      <c r="AE20" s="9"/>
      <c r="AF20" s="9"/>
      <c r="AG20" s="9"/>
      <c r="AH20" s="9"/>
      <c r="AI20" s="13"/>
      <c r="AJ20" s="9"/>
      <c r="AK20" s="9"/>
      <c r="AL20" s="9"/>
      <c r="AM20" s="9"/>
    </row>
    <row r="21" spans="1:39" x14ac:dyDescent="0.35">
      <c r="A21" s="12"/>
      <c r="B21" s="14"/>
      <c r="C21" s="9"/>
      <c r="D21" s="13"/>
      <c r="E21" s="9"/>
      <c r="F21" s="9"/>
      <c r="G21" s="9"/>
      <c r="H21" s="12"/>
      <c r="I21" s="13"/>
      <c r="J21" s="9"/>
      <c r="K21" s="9"/>
      <c r="L21" s="13"/>
      <c r="M21" s="13"/>
      <c r="N21" s="9"/>
      <c r="O21" s="9"/>
      <c r="P21" s="13"/>
      <c r="Q21" s="13"/>
      <c r="R21" s="13"/>
      <c r="S21" s="9"/>
      <c r="T21" s="9"/>
      <c r="U21" s="9"/>
      <c r="V21" s="9"/>
      <c r="W21" s="13"/>
      <c r="X21" s="13"/>
      <c r="Y21" s="9"/>
      <c r="Z21" s="9"/>
      <c r="AA21" s="9"/>
      <c r="AB21" s="9"/>
      <c r="AC21" s="9"/>
      <c r="AD21" s="9"/>
      <c r="AE21" s="9"/>
      <c r="AF21" s="9"/>
      <c r="AG21" s="9"/>
      <c r="AH21" s="9"/>
      <c r="AI21" s="13"/>
      <c r="AJ21" s="9"/>
      <c r="AK21" s="9"/>
      <c r="AL21" s="9"/>
      <c r="AM21" s="9"/>
    </row>
    <row r="22" spans="1:39" x14ac:dyDescent="0.35">
      <c r="A22" s="1" t="s">
        <v>193</v>
      </c>
      <c r="B22" s="18">
        <f>((B17/SUM($B$17:$B$19))-(B19/SUM($B$17:$B$19)))*100</f>
        <v>20</v>
      </c>
      <c r="D22" s="2"/>
      <c r="H22" s="1"/>
      <c r="I22" s="2"/>
      <c r="L22" s="2"/>
      <c r="M22" s="2"/>
      <c r="AI22" s="2"/>
    </row>
    <row r="23" spans="1:39" x14ac:dyDescent="0.35">
      <c r="A23" s="1"/>
      <c r="D23" s="2"/>
      <c r="H23" s="1"/>
      <c r="I23" s="2"/>
      <c r="L23" s="2"/>
      <c r="M23" s="2"/>
      <c r="AI23" s="2"/>
    </row>
    <row r="24" spans="1:39" x14ac:dyDescent="0.35">
      <c r="A24" s="1"/>
      <c r="D24" s="2"/>
      <c r="H24" s="1"/>
      <c r="I24" s="2"/>
      <c r="L24" s="2"/>
      <c r="M24" s="2"/>
      <c r="AI24" s="2"/>
    </row>
    <row r="25" spans="1:39" x14ac:dyDescent="0.35">
      <c r="A25" s="1" t="s">
        <v>195</v>
      </c>
      <c r="B25" s="16" t="s">
        <v>187</v>
      </c>
      <c r="C25" t="s">
        <v>188</v>
      </c>
      <c r="D25" s="2"/>
      <c r="H25" s="1"/>
      <c r="I25" s="2"/>
      <c r="L25" s="2"/>
      <c r="M25" s="2"/>
      <c r="T25" s="2"/>
      <c r="U25" s="2"/>
      <c r="W25" s="2"/>
      <c r="X25" s="2"/>
      <c r="AI25" s="2"/>
    </row>
    <row r="26" spans="1:39" x14ac:dyDescent="0.35">
      <c r="A26" s="1" t="s">
        <v>196</v>
      </c>
      <c r="B26" s="16">
        <f>COUNTIF('Analysis Data'!AL3:AL39,A26)</f>
        <v>14</v>
      </c>
      <c r="C26" s="19">
        <f>B26/SUM($B$26:$B$27)</f>
        <v>0.3783783783783784</v>
      </c>
      <c r="D26" s="2"/>
      <c r="H26" s="1"/>
      <c r="I26" s="2"/>
      <c r="L26" s="2"/>
      <c r="M26" s="2"/>
      <c r="AI26" s="2"/>
    </row>
    <row r="27" spans="1:39" ht="15" thickBot="1" x14ac:dyDescent="0.4">
      <c r="A27" s="1" t="s">
        <v>197</v>
      </c>
      <c r="B27" s="16">
        <f>COUNTIF('Analysis Data'!AL4:AL40,A27)</f>
        <v>23</v>
      </c>
      <c r="C27" s="19">
        <f>B27/SUM($B$26:$B$27)</f>
        <v>0.6216216216216216</v>
      </c>
      <c r="D27" s="2"/>
      <c r="F27" s="29"/>
      <c r="G27" s="29"/>
      <c r="H27" s="30"/>
      <c r="I27" s="2"/>
      <c r="L27" s="2"/>
      <c r="M27" s="2"/>
      <c r="AI27" s="2"/>
    </row>
    <row r="28" spans="1:39" ht="15.5" thickTop="1" thickBot="1" x14ac:dyDescent="0.4">
      <c r="A28" s="1" t="s">
        <v>192</v>
      </c>
      <c r="B28" s="16">
        <f>SUM(B26:B27)</f>
        <v>37</v>
      </c>
      <c r="C28" s="19">
        <f>SUM(C26:C27)</f>
        <v>1</v>
      </c>
      <c r="D28" s="2"/>
      <c r="E28" s="26"/>
      <c r="F28" s="32" t="s">
        <v>195</v>
      </c>
      <c r="G28" s="34" t="s">
        <v>187</v>
      </c>
      <c r="H28" s="33" t="s">
        <v>188</v>
      </c>
      <c r="I28" s="2"/>
      <c r="L28" s="2"/>
      <c r="M28" s="2"/>
      <c r="AI28" s="2"/>
    </row>
    <row r="29" spans="1:39" x14ac:dyDescent="0.35">
      <c r="A29" s="1"/>
      <c r="C29" s="19"/>
      <c r="D29" s="2"/>
      <c r="E29" s="26"/>
      <c r="F29" s="27" t="s">
        <v>196</v>
      </c>
      <c r="G29" s="35">
        <v>14</v>
      </c>
      <c r="H29" s="37">
        <v>0.3783783783783784</v>
      </c>
      <c r="I29" s="2"/>
      <c r="L29" s="2"/>
      <c r="M29" s="2"/>
      <c r="AI29" s="2"/>
    </row>
    <row r="30" spans="1:39" ht="15" thickBot="1" x14ac:dyDescent="0.4">
      <c r="A30" s="1"/>
      <c r="C30" s="19"/>
      <c r="D30" s="2"/>
      <c r="E30" s="26"/>
      <c r="F30" s="27" t="s">
        <v>197</v>
      </c>
      <c r="G30" s="35">
        <v>23</v>
      </c>
      <c r="H30" s="37">
        <v>0.6216216216216216</v>
      </c>
      <c r="I30" s="2"/>
      <c r="L30" s="2"/>
      <c r="M30" s="2"/>
      <c r="AI30" s="2"/>
    </row>
    <row r="31" spans="1:39" ht="15" thickBot="1" x14ac:dyDescent="0.4">
      <c r="A31" s="1" t="s">
        <v>178</v>
      </c>
      <c r="B31" s="16" t="s">
        <v>187</v>
      </c>
      <c r="C31" s="19" t="s">
        <v>188</v>
      </c>
      <c r="D31" s="2"/>
      <c r="E31" s="26"/>
      <c r="F31" s="31" t="s">
        <v>192</v>
      </c>
      <c r="G31" s="36">
        <v>37</v>
      </c>
      <c r="H31" s="38">
        <v>1</v>
      </c>
      <c r="I31" s="2"/>
      <c r="L31" s="2"/>
      <c r="M31" s="2"/>
      <c r="AI31" s="2"/>
    </row>
    <row r="32" spans="1:39" ht="15" thickTop="1" x14ac:dyDescent="0.35">
      <c r="A32" s="1" t="s">
        <v>198</v>
      </c>
      <c r="B32" s="16">
        <f>COUNTIF('Analysis Data'!AM3:AM39,A32)</f>
        <v>6</v>
      </c>
      <c r="C32" s="19">
        <f>B32/$B$34</f>
        <v>0.16216216216216217</v>
      </c>
      <c r="D32" s="2"/>
      <c r="H32" s="1"/>
      <c r="I32" s="2"/>
      <c r="L32" s="2"/>
      <c r="M32" s="2"/>
      <c r="AI32" s="2"/>
    </row>
    <row r="33" spans="1:35" x14ac:dyDescent="0.35">
      <c r="A33" s="1" t="s">
        <v>199</v>
      </c>
      <c r="B33" s="16">
        <f>COUNTIF('Analysis Data'!AM3:AM40,A33)</f>
        <v>31</v>
      </c>
      <c r="C33" s="19">
        <f>B33/$B$34</f>
        <v>0.83783783783783783</v>
      </c>
      <c r="D33" s="2"/>
      <c r="H33" s="1"/>
      <c r="I33" s="2"/>
      <c r="L33" s="2"/>
      <c r="M33" s="2"/>
      <c r="AI33" s="2"/>
    </row>
    <row r="34" spans="1:35" x14ac:dyDescent="0.35">
      <c r="A34" s="1" t="s">
        <v>192</v>
      </c>
      <c r="B34" s="16">
        <f>SUM(B32:B33)</f>
        <v>37</v>
      </c>
      <c r="C34" s="19">
        <f>SUM(C32:C33)</f>
        <v>1</v>
      </c>
      <c r="D34" s="2"/>
      <c r="H34" s="1"/>
      <c r="I34" s="2"/>
      <c r="L34" s="2"/>
      <c r="M34" s="2"/>
      <c r="AI34" s="2"/>
    </row>
    <row r="35" spans="1:35" x14ac:dyDescent="0.35">
      <c r="A35" s="1"/>
      <c r="D35" s="2"/>
      <c r="H35" s="1"/>
      <c r="I35" s="2"/>
      <c r="L35" s="2"/>
      <c r="M35" s="2"/>
      <c r="AI35" s="2"/>
    </row>
    <row r="36" spans="1:35" x14ac:dyDescent="0.35">
      <c r="A36" s="1"/>
      <c r="D36" s="2"/>
      <c r="H36" s="1"/>
      <c r="I36" s="2"/>
      <c r="L36" s="2"/>
      <c r="M36" s="2"/>
      <c r="AI36" s="2"/>
    </row>
    <row r="37" spans="1:35" ht="28" customHeight="1" x14ac:dyDescent="0.35">
      <c r="A37" s="1" t="s">
        <v>178</v>
      </c>
      <c r="B37" s="16" t="s">
        <v>184</v>
      </c>
      <c r="D37" s="2"/>
      <c r="E37" s="20"/>
      <c r="H37" s="1"/>
      <c r="I37" s="2"/>
      <c r="L37" s="2"/>
      <c r="M37" s="2"/>
      <c r="AI37" s="2"/>
    </row>
    <row r="38" spans="1:35" ht="15" thickBot="1" x14ac:dyDescent="0.4">
      <c r="A38" s="1" t="s">
        <v>198</v>
      </c>
      <c r="B38" s="21">
        <f>AVERAGEIF('Analysis Data'!AM3:AM39,A38,'Analysis Data'!AJ3:AJ39)</f>
        <v>4.333333333333333</v>
      </c>
      <c r="D38" s="2"/>
      <c r="F38" s="29"/>
      <c r="G38" s="29"/>
      <c r="H38" s="30"/>
      <c r="I38" s="2"/>
      <c r="L38" s="2"/>
      <c r="M38" s="2"/>
      <c r="AI38" s="2"/>
    </row>
    <row r="39" spans="1:35" ht="15.5" thickTop="1" thickBot="1" x14ac:dyDescent="0.4">
      <c r="A39" s="1" t="s">
        <v>199</v>
      </c>
      <c r="B39" s="21">
        <f>AVERAGEIF('Analysis Data'!AM4:AM40,A39,'Analysis Data'!AJ4:AJ40)</f>
        <v>3.7866666666666657</v>
      </c>
      <c r="D39" s="2"/>
      <c r="E39" s="26"/>
      <c r="F39" s="32" t="s">
        <v>178</v>
      </c>
      <c r="G39" s="34" t="s">
        <v>187</v>
      </c>
      <c r="H39" s="33" t="s">
        <v>188</v>
      </c>
      <c r="I39" s="2"/>
      <c r="L39" s="2"/>
      <c r="M39" s="2"/>
      <c r="AI39" s="2"/>
    </row>
    <row r="40" spans="1:35" x14ac:dyDescent="0.35">
      <c r="E40" s="26"/>
      <c r="F40" s="27" t="s">
        <v>198</v>
      </c>
      <c r="G40" s="35">
        <v>6</v>
      </c>
      <c r="H40" s="37">
        <v>0.16220000000000001</v>
      </c>
      <c r="I40" s="2"/>
    </row>
    <row r="41" spans="1:35" ht="15" thickBot="1" x14ac:dyDescent="0.4">
      <c r="E41" s="26"/>
      <c r="F41" s="27" t="s">
        <v>199</v>
      </c>
      <c r="G41" s="35">
        <v>31</v>
      </c>
      <c r="H41" s="37">
        <v>0.83779999999999999</v>
      </c>
      <c r="I41" s="2"/>
    </row>
    <row r="42" spans="1:35" ht="15" thickBot="1" x14ac:dyDescent="0.4">
      <c r="E42" s="26"/>
      <c r="F42" s="31" t="s">
        <v>192</v>
      </c>
      <c r="G42" s="36">
        <v>37</v>
      </c>
      <c r="H42" s="38">
        <v>1</v>
      </c>
      <c r="I42" s="2"/>
    </row>
    <row r="43" spans="1:35" ht="33" customHeight="1" thickTop="1" x14ac:dyDescent="0.35">
      <c r="A43" s="4" t="s">
        <v>200</v>
      </c>
      <c r="H43" s="1"/>
      <c r="I43" s="2"/>
    </row>
    <row r="44" spans="1:35" ht="15" thickBot="1" x14ac:dyDescent="0.4">
      <c r="B44" s="16" t="s">
        <v>196</v>
      </c>
      <c r="C44" t="s">
        <v>197</v>
      </c>
      <c r="D44" t="s">
        <v>192</v>
      </c>
    </row>
    <row r="45" spans="1:35" ht="15" thickBot="1" x14ac:dyDescent="0.4">
      <c r="A45" t="s">
        <v>198</v>
      </c>
      <c r="B45" s="16">
        <f>COUNTIFS('Analysis Data'!AM3:AM39,"Yes",'Analysis Data'!AL3:AL39,"High risk")</f>
        <v>0</v>
      </c>
      <c r="C45" s="16">
        <f>COUNTIFS('Analysis Data'!AM3:AM39,"Yes",'Analysis Data'!AL3:AL39,"Low/moderate risk")</f>
        <v>6</v>
      </c>
      <c r="D45">
        <f>SUM(B45:C45)</f>
        <v>6</v>
      </c>
      <c r="F45" s="53" t="s">
        <v>212</v>
      </c>
      <c r="G45" s="51"/>
      <c r="H45" s="51"/>
      <c r="I45" s="52"/>
    </row>
    <row r="46" spans="1:35" ht="15" thickBot="1" x14ac:dyDescent="0.4">
      <c r="A46" t="s">
        <v>199</v>
      </c>
      <c r="B46" s="16">
        <f>COUNTIFS('Analysis Data'!AM3:AM39,"No",'Analysis Data'!AL3:AL39,"High risk")</f>
        <v>14</v>
      </c>
      <c r="C46" s="16">
        <f>COUNTIFS('Analysis Data'!AM3:AM39,"No",'Analysis Data'!AL3:AL39,"Low/moderate risk")</f>
        <v>17</v>
      </c>
      <c r="D46">
        <f>SUM(B46:C46)</f>
        <v>31</v>
      </c>
      <c r="F46" s="54" t="s">
        <v>178</v>
      </c>
      <c r="G46" s="55" t="s">
        <v>196</v>
      </c>
      <c r="H46" s="55" t="s">
        <v>197</v>
      </c>
      <c r="I46" s="55" t="s">
        <v>192</v>
      </c>
    </row>
    <row r="47" spans="1:35" x14ac:dyDescent="0.35">
      <c r="A47" t="s">
        <v>192</v>
      </c>
      <c r="B47" s="16">
        <f>SUM(B45:B46)</f>
        <v>14</v>
      </c>
      <c r="C47" s="16">
        <f>SUM(C45:C46)</f>
        <v>23</v>
      </c>
      <c r="D47">
        <f>SUM(D45:D46)</f>
        <v>37</v>
      </c>
      <c r="F47" s="22" t="s">
        <v>198</v>
      </c>
      <c r="G47" s="50">
        <v>0</v>
      </c>
      <c r="H47" s="50">
        <v>6</v>
      </c>
      <c r="I47" s="50">
        <v>6</v>
      </c>
    </row>
    <row r="48" spans="1:35" ht="15" thickBot="1" x14ac:dyDescent="0.4">
      <c r="F48" s="23" t="s">
        <v>199</v>
      </c>
      <c r="G48" s="25">
        <v>14</v>
      </c>
      <c r="H48" s="25">
        <v>17</v>
      </c>
      <c r="I48" s="25">
        <v>31</v>
      </c>
    </row>
    <row r="49" spans="1:9" ht="15" thickBot="1" x14ac:dyDescent="0.4">
      <c r="F49" s="23" t="s">
        <v>192</v>
      </c>
      <c r="G49" s="25">
        <v>14</v>
      </c>
      <c r="H49" s="25">
        <v>23</v>
      </c>
      <c r="I49" s="25">
        <v>37</v>
      </c>
    </row>
    <row r="50" spans="1:9" x14ac:dyDescent="0.35">
      <c r="B50" s="16" t="s">
        <v>202</v>
      </c>
      <c r="C50" t="s">
        <v>203</v>
      </c>
    </row>
    <row r="51" spans="1:9" x14ac:dyDescent="0.35">
      <c r="A51" t="s">
        <v>198</v>
      </c>
      <c r="B51" s="16">
        <f>$D45*B$47/$D$47</f>
        <v>2.2702702702702702</v>
      </c>
      <c r="C51" s="16">
        <f>$D45*C$47/$D$47</f>
        <v>3.7297297297297298</v>
      </c>
    </row>
    <row r="52" spans="1:9" x14ac:dyDescent="0.35">
      <c r="A52" t="s">
        <v>199</v>
      </c>
      <c r="B52" s="16">
        <f>$D46*B$47/$D$47</f>
        <v>11.72972972972973</v>
      </c>
      <c r="C52" s="16">
        <f>$D46*C$47/$D$47</f>
        <v>19.27027027027027</v>
      </c>
    </row>
    <row r="53" spans="1:9" x14ac:dyDescent="0.35">
      <c r="B53" s="16" t="s">
        <v>201</v>
      </c>
      <c r="C53" t="s">
        <v>201</v>
      </c>
    </row>
    <row r="54" spans="1:9" ht="15" thickBot="1" x14ac:dyDescent="0.4"/>
    <row r="55" spans="1:9" ht="15" thickBot="1" x14ac:dyDescent="0.4">
      <c r="A55" t="s">
        <v>204</v>
      </c>
      <c r="B55" s="16" t="s">
        <v>181</v>
      </c>
      <c r="E55" t="s">
        <v>201</v>
      </c>
      <c r="F55" s="40" t="s">
        <v>204</v>
      </c>
      <c r="G55" s="41" t="s">
        <v>181</v>
      </c>
    </row>
    <row r="56" spans="1:9" x14ac:dyDescent="0.35">
      <c r="A56" t="s">
        <v>205</v>
      </c>
      <c r="B56" s="16" cm="1">
        <f t="array" ref="B56">SUM((B45:C46-B51:C52)^2/B51:C52)</f>
        <v>4.3590462833099579</v>
      </c>
      <c r="F56" s="24" t="s">
        <v>205</v>
      </c>
      <c r="G56" s="39">
        <v>4.3590462833099579</v>
      </c>
    </row>
    <row r="57" spans="1:9" x14ac:dyDescent="0.35">
      <c r="A57" t="s">
        <v>206</v>
      </c>
      <c r="B57" s="16">
        <f>1</f>
        <v>1</v>
      </c>
      <c r="F57" s="24" t="s">
        <v>210</v>
      </c>
      <c r="G57" s="27">
        <v>1</v>
      </c>
    </row>
    <row r="58" spans="1:9" x14ac:dyDescent="0.35">
      <c r="A58" t="s">
        <v>207</v>
      </c>
      <c r="B58" s="16">
        <f>_xlfn.CHISQ.TEST(B45:C46,B51:C52)</f>
        <v>3.6812909271183789E-2</v>
      </c>
      <c r="F58" s="24" t="s">
        <v>209</v>
      </c>
      <c r="G58" s="39">
        <v>3.6812909271183789E-2</v>
      </c>
    </row>
    <row r="59" spans="1:9" ht="15" thickBot="1" x14ac:dyDescent="0.4">
      <c r="A59" t="s">
        <v>208</v>
      </c>
      <c r="B59" s="16">
        <f>37</f>
        <v>37</v>
      </c>
      <c r="F59" s="25" t="s">
        <v>208</v>
      </c>
      <c r="G59" s="28">
        <v>37</v>
      </c>
    </row>
    <row r="60" spans="1:9" x14ac:dyDescent="0.35">
      <c r="F60" s="42" t="s">
        <v>211</v>
      </c>
    </row>
    <row r="63" spans="1:9" x14ac:dyDescent="0.35">
      <c r="C63" t="s">
        <v>201</v>
      </c>
    </row>
  </sheetData>
  <mergeCells count="1">
    <mergeCell ref="F45:I45"/>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7D72-3AD4-445B-9813-DE569D856A79}">
  <dimension ref="A1:AM39"/>
  <sheetViews>
    <sheetView topLeftCell="AG1" workbookViewId="0">
      <pane ySplit="1" topLeftCell="A2" activePane="bottomLeft" state="frozen"/>
      <selection pane="bottomLeft" activeCell="AM1" sqref="AM1:AM1048576"/>
    </sheetView>
  </sheetViews>
  <sheetFormatPr defaultRowHeight="14.5" x14ac:dyDescent="0.35"/>
  <cols>
    <col min="1" max="2" width="14.08984375" bestFit="1" customWidth="1"/>
    <col min="3" max="3" width="15.1796875" bestFit="1" customWidth="1"/>
    <col min="4" max="4" width="11.54296875" bestFit="1" customWidth="1"/>
    <col min="5" max="5" width="10.1796875" bestFit="1" customWidth="1"/>
    <col min="6" max="6" width="20.54296875" bestFit="1" customWidth="1"/>
    <col min="7" max="7" width="9.90625" bestFit="1" customWidth="1"/>
    <col min="8" max="8" width="15.1796875" bestFit="1" customWidth="1"/>
    <col min="9" max="9" width="13.08984375" bestFit="1" customWidth="1"/>
    <col min="10" max="10" width="17.1796875" bestFit="1" customWidth="1"/>
    <col min="11" max="11" width="18.453125" bestFit="1" customWidth="1"/>
    <col min="12" max="12" width="19.81640625" bestFit="1" customWidth="1"/>
    <col min="13" max="13" width="15" bestFit="1" customWidth="1"/>
    <col min="14" max="29" width="39.7265625" customWidth="1"/>
    <col min="30" max="30" width="39.7265625" hidden="1" customWidth="1"/>
    <col min="31" max="35" width="39.7265625" customWidth="1"/>
    <col min="36" max="42" width="19.81640625" customWidth="1"/>
  </cols>
  <sheetData>
    <row r="1" spans="1:39" ht="29" x14ac:dyDescent="0.35">
      <c r="A1" s="3" t="s">
        <v>0</v>
      </c>
      <c r="B1" s="3" t="s">
        <v>1</v>
      </c>
      <c r="C1" s="3" t="s">
        <v>2</v>
      </c>
      <c r="D1" s="3" t="s">
        <v>3</v>
      </c>
      <c r="E1" s="3" t="s">
        <v>4</v>
      </c>
      <c r="F1" s="3" t="s">
        <v>5</v>
      </c>
      <c r="G1" s="3" t="s">
        <v>6</v>
      </c>
      <c r="H1" s="3" t="s">
        <v>7</v>
      </c>
      <c r="I1" s="3" t="s">
        <v>8</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c r="Z1" s="3" t="s">
        <v>29</v>
      </c>
      <c r="AA1" s="3" t="s">
        <v>30</v>
      </c>
      <c r="AB1" s="3" t="s">
        <v>31</v>
      </c>
      <c r="AC1" s="3" t="s">
        <v>32</v>
      </c>
      <c r="AD1" s="3" t="s">
        <v>33</v>
      </c>
      <c r="AE1" s="3" t="s">
        <v>34</v>
      </c>
      <c r="AF1" s="3" t="s">
        <v>35</v>
      </c>
      <c r="AG1" s="3" t="s">
        <v>36</v>
      </c>
      <c r="AH1" s="3" t="s">
        <v>37</v>
      </c>
      <c r="AI1" s="3" t="s">
        <v>38</v>
      </c>
      <c r="AJ1" s="7" t="s">
        <v>176</v>
      </c>
      <c r="AK1" s="7" t="s">
        <v>177</v>
      </c>
      <c r="AL1" s="7" t="s">
        <v>195</v>
      </c>
      <c r="AM1" s="8" t="s">
        <v>179</v>
      </c>
    </row>
    <row r="2" spans="1:39" s="6" customFormat="1" ht="44.5" customHeight="1" x14ac:dyDescent="0.35">
      <c r="A2" s="5" t="s">
        <v>39</v>
      </c>
      <c r="B2" s="5" t="s">
        <v>40</v>
      </c>
      <c r="C2" s="5" t="s">
        <v>41</v>
      </c>
      <c r="D2" s="5" t="s">
        <v>42</v>
      </c>
      <c r="E2" s="5" t="s">
        <v>4</v>
      </c>
      <c r="F2" s="5" t="s">
        <v>5</v>
      </c>
      <c r="G2" s="5" t="s">
        <v>6</v>
      </c>
      <c r="H2" s="5" t="s">
        <v>43</v>
      </c>
      <c r="I2" s="5" t="s">
        <v>44</v>
      </c>
      <c r="J2" s="5" t="s">
        <v>49</v>
      </c>
      <c r="K2" s="5" t="s">
        <v>50</v>
      </c>
      <c r="L2" s="5" t="s">
        <v>51</v>
      </c>
      <c r="M2" s="5" t="s">
        <v>52</v>
      </c>
      <c r="N2" s="5" t="s">
        <v>53</v>
      </c>
      <c r="O2" s="5" t="s">
        <v>54</v>
      </c>
      <c r="P2" s="5" t="s">
        <v>55</v>
      </c>
      <c r="Q2" s="5" t="s">
        <v>56</v>
      </c>
      <c r="R2" s="5" t="s">
        <v>57</v>
      </c>
      <c r="S2" s="5" t="s">
        <v>58</v>
      </c>
      <c r="T2" s="5" t="s">
        <v>59</v>
      </c>
      <c r="U2" s="5" t="s">
        <v>60</v>
      </c>
      <c r="V2" s="5" t="s">
        <v>61</v>
      </c>
      <c r="W2" s="5" t="s">
        <v>62</v>
      </c>
      <c r="X2" s="5" t="s">
        <v>63</v>
      </c>
      <c r="Y2" s="5" t="s">
        <v>64</v>
      </c>
      <c r="Z2" s="5" t="s">
        <v>65</v>
      </c>
      <c r="AA2" s="5" t="s">
        <v>66</v>
      </c>
      <c r="AB2" s="5" t="s">
        <v>67</v>
      </c>
      <c r="AC2" s="5" t="s">
        <v>68</v>
      </c>
      <c r="AD2" s="5" t="s">
        <v>69</v>
      </c>
      <c r="AE2" s="5" t="s">
        <v>70</v>
      </c>
      <c r="AF2" s="5" t="s">
        <v>71</v>
      </c>
      <c r="AG2" s="5" t="s">
        <v>72</v>
      </c>
      <c r="AH2" s="5" t="s">
        <v>73</v>
      </c>
      <c r="AI2" s="5" t="s">
        <v>74</v>
      </c>
      <c r="AJ2" s="7" t="s">
        <v>176</v>
      </c>
      <c r="AK2" s="7" t="s">
        <v>177</v>
      </c>
      <c r="AL2" s="7" t="s">
        <v>195</v>
      </c>
      <c r="AM2" s="8" t="s">
        <v>179</v>
      </c>
    </row>
    <row r="3" spans="1:39" ht="29" x14ac:dyDescent="0.35">
      <c r="A3" s="1">
        <v>46197.700752314813</v>
      </c>
      <c r="B3" s="1">
        <v>46198.594895833332</v>
      </c>
      <c r="C3">
        <v>0</v>
      </c>
      <c r="D3" s="2" t="s">
        <v>81</v>
      </c>
      <c r="E3">
        <v>100</v>
      </c>
      <c r="F3">
        <v>77254</v>
      </c>
      <c r="G3">
        <v>1</v>
      </c>
      <c r="H3" s="1">
        <v>46198.59490733796</v>
      </c>
      <c r="I3" s="2" t="s">
        <v>82</v>
      </c>
      <c r="J3">
        <v>34.195</v>
      </c>
      <c r="K3">
        <v>-118.44499999999999</v>
      </c>
      <c r="L3" s="2" t="s">
        <v>83</v>
      </c>
      <c r="M3" s="2" t="s">
        <v>78</v>
      </c>
      <c r="N3">
        <v>1</v>
      </c>
      <c r="O3">
        <v>1</v>
      </c>
      <c r="P3" s="2" t="s">
        <v>75</v>
      </c>
      <c r="Q3" s="2" t="s">
        <v>75</v>
      </c>
      <c r="R3" s="2" t="s">
        <v>75</v>
      </c>
      <c r="S3" s="2" t="s">
        <v>75</v>
      </c>
      <c r="T3" s="2" t="s">
        <v>75</v>
      </c>
      <c r="U3" s="2" t="s">
        <v>75</v>
      </c>
      <c r="V3" s="2" t="s">
        <v>75</v>
      </c>
      <c r="W3" s="2" t="s">
        <v>75</v>
      </c>
      <c r="X3" s="2" t="s">
        <v>75</v>
      </c>
      <c r="Y3">
        <v>5</v>
      </c>
      <c r="Z3">
        <v>4</v>
      </c>
      <c r="AA3">
        <v>4</v>
      </c>
      <c r="AB3">
        <v>4</v>
      </c>
      <c r="AC3">
        <v>4</v>
      </c>
      <c r="AD3">
        <v>2</v>
      </c>
      <c r="AE3">
        <v>7</v>
      </c>
      <c r="AF3">
        <v>2</v>
      </c>
      <c r="AG3">
        <v>4</v>
      </c>
      <c r="AH3">
        <v>1</v>
      </c>
      <c r="AI3" s="2" t="s">
        <v>75</v>
      </c>
      <c r="AJ3">
        <f>AVERAGE(Y3:AC3)</f>
        <v>4.2</v>
      </c>
      <c r="AK3" t="str">
        <f>IF(AE3&gt;=9,"Promoter",IF(AE3&gt;=7,"Passive","Detractor"))</f>
        <v>Passive</v>
      </c>
      <c r="AL3" t="str">
        <f>IF(AG3&gt;=4,"High risk","Low/moderate risk")</f>
        <v>High risk</v>
      </c>
      <c r="AM3" t="str">
        <f>IF(AG3=1,"Yes","No")</f>
        <v>No</v>
      </c>
    </row>
    <row r="4" spans="1:39" ht="29" x14ac:dyDescent="0.35">
      <c r="A4" s="1">
        <v>46199.713726851849</v>
      </c>
      <c r="B4" s="1">
        <v>46199.715115740742</v>
      </c>
      <c r="C4">
        <v>0</v>
      </c>
      <c r="D4" s="2" t="s">
        <v>84</v>
      </c>
      <c r="E4">
        <v>100</v>
      </c>
      <c r="F4">
        <v>119</v>
      </c>
      <c r="G4">
        <v>1</v>
      </c>
      <c r="H4" s="1">
        <v>46199.715128784723</v>
      </c>
      <c r="I4" s="2" t="s">
        <v>85</v>
      </c>
      <c r="J4">
        <v>33.979399999999998</v>
      </c>
      <c r="K4">
        <v>-118.0609</v>
      </c>
      <c r="L4" s="2" t="s">
        <v>83</v>
      </c>
      <c r="M4" s="2" t="s">
        <v>78</v>
      </c>
      <c r="N4">
        <v>1</v>
      </c>
      <c r="O4">
        <v>43</v>
      </c>
      <c r="P4">
        <v>43</v>
      </c>
      <c r="Q4">
        <v>43</v>
      </c>
      <c r="R4">
        <v>30</v>
      </c>
      <c r="S4">
        <v>1</v>
      </c>
      <c r="T4">
        <v>43</v>
      </c>
      <c r="U4">
        <v>43</v>
      </c>
      <c r="V4">
        <v>2</v>
      </c>
      <c r="W4">
        <v>43</v>
      </c>
      <c r="X4">
        <v>43</v>
      </c>
      <c r="Y4">
        <v>4</v>
      </c>
      <c r="Z4">
        <v>3</v>
      </c>
      <c r="AA4">
        <v>5</v>
      </c>
      <c r="AB4">
        <v>4</v>
      </c>
      <c r="AC4">
        <v>4</v>
      </c>
      <c r="AD4">
        <v>1</v>
      </c>
      <c r="AE4">
        <v>5</v>
      </c>
      <c r="AF4">
        <v>2</v>
      </c>
      <c r="AG4">
        <v>2</v>
      </c>
      <c r="AH4">
        <v>1</v>
      </c>
      <c r="AI4" s="2" t="s">
        <v>86</v>
      </c>
      <c r="AJ4">
        <f t="shared" ref="AJ4:AJ39" si="0">AVERAGE(Y4:AC4)</f>
        <v>4</v>
      </c>
      <c r="AK4" t="str">
        <f t="shared" ref="AK4:AK39" si="1">IF(AE4&gt;=9,"Promoter",IF(AE4&gt;=7,"Passive","Detractor"))</f>
        <v>Detractor</v>
      </c>
      <c r="AL4" t="str">
        <f t="shared" ref="AL4:AL39" si="2">IF(AG4&gt;=4,"High risk","Low/moderate risk")</f>
        <v>Low/moderate risk</v>
      </c>
      <c r="AM4" t="str">
        <f t="shared" ref="AM4:AM39" si="3">IF(AG4=1,"Yes","No")</f>
        <v>No</v>
      </c>
    </row>
    <row r="5" spans="1:39" ht="29" x14ac:dyDescent="0.35">
      <c r="A5" s="1">
        <v>46199.717175925929</v>
      </c>
      <c r="B5" s="1">
        <v>46199.718090277776</v>
      </c>
      <c r="C5">
        <v>0</v>
      </c>
      <c r="D5" s="2" t="s">
        <v>87</v>
      </c>
      <c r="E5">
        <v>100</v>
      </c>
      <c r="F5">
        <v>79</v>
      </c>
      <c r="G5">
        <v>1</v>
      </c>
      <c r="H5" s="1">
        <v>46199.718098784724</v>
      </c>
      <c r="I5" s="2" t="s">
        <v>88</v>
      </c>
      <c r="J5">
        <v>33.9893</v>
      </c>
      <c r="K5">
        <v>-118.089</v>
      </c>
      <c r="L5" s="2" t="s">
        <v>83</v>
      </c>
      <c r="M5" s="2" t="s">
        <v>78</v>
      </c>
      <c r="N5">
        <v>3</v>
      </c>
      <c r="O5">
        <v>1</v>
      </c>
      <c r="P5">
        <v>2</v>
      </c>
      <c r="Q5">
        <v>43</v>
      </c>
      <c r="R5">
        <v>30</v>
      </c>
      <c r="S5">
        <v>43</v>
      </c>
      <c r="T5">
        <v>30</v>
      </c>
      <c r="U5">
        <v>43</v>
      </c>
      <c r="V5">
        <v>43</v>
      </c>
      <c r="W5">
        <v>43</v>
      </c>
      <c r="X5">
        <v>43</v>
      </c>
      <c r="Y5">
        <v>5</v>
      </c>
      <c r="Z5">
        <v>5</v>
      </c>
      <c r="AA5">
        <v>5</v>
      </c>
      <c r="AB5">
        <v>5</v>
      </c>
      <c r="AC5">
        <v>5</v>
      </c>
      <c r="AD5">
        <v>2</v>
      </c>
      <c r="AE5">
        <v>7</v>
      </c>
      <c r="AF5">
        <v>2</v>
      </c>
      <c r="AG5">
        <v>5</v>
      </c>
      <c r="AH5">
        <v>2</v>
      </c>
      <c r="AI5" s="2" t="s">
        <v>75</v>
      </c>
      <c r="AJ5">
        <f t="shared" si="0"/>
        <v>5</v>
      </c>
      <c r="AK5" t="str">
        <f t="shared" si="1"/>
        <v>Passive</v>
      </c>
      <c r="AL5" t="str">
        <f t="shared" si="2"/>
        <v>High risk</v>
      </c>
      <c r="AM5" t="str">
        <f t="shared" si="3"/>
        <v>No</v>
      </c>
    </row>
    <row r="6" spans="1:39" ht="29" x14ac:dyDescent="0.35">
      <c r="A6" s="1">
        <v>46199.717106481483</v>
      </c>
      <c r="B6" s="1">
        <v>46199.723564814813</v>
      </c>
      <c r="C6">
        <v>0</v>
      </c>
      <c r="D6" s="2" t="s">
        <v>89</v>
      </c>
      <c r="E6">
        <v>100</v>
      </c>
      <c r="F6">
        <v>557</v>
      </c>
      <c r="G6">
        <v>1</v>
      </c>
      <c r="H6" s="1">
        <v>46199.723575289354</v>
      </c>
      <c r="I6" s="2" t="s">
        <v>90</v>
      </c>
      <c r="J6">
        <v>33.988900000000001</v>
      </c>
      <c r="K6">
        <v>-118.15300000000001</v>
      </c>
      <c r="L6" s="2" t="s">
        <v>83</v>
      </c>
      <c r="M6" s="2" t="s">
        <v>78</v>
      </c>
      <c r="N6">
        <v>1</v>
      </c>
      <c r="O6">
        <v>43</v>
      </c>
      <c r="P6">
        <v>43</v>
      </c>
      <c r="Q6">
        <v>43</v>
      </c>
      <c r="R6">
        <v>43</v>
      </c>
      <c r="S6">
        <v>43</v>
      </c>
      <c r="T6">
        <v>43</v>
      </c>
      <c r="U6">
        <v>43</v>
      </c>
      <c r="V6">
        <v>43</v>
      </c>
      <c r="W6">
        <v>43</v>
      </c>
      <c r="X6">
        <v>1</v>
      </c>
      <c r="Y6">
        <v>5</v>
      </c>
      <c r="Z6">
        <v>4</v>
      </c>
      <c r="AA6">
        <v>3</v>
      </c>
      <c r="AB6">
        <v>2</v>
      </c>
      <c r="AC6">
        <v>3</v>
      </c>
      <c r="AD6">
        <v>1</v>
      </c>
      <c r="AE6">
        <v>5</v>
      </c>
      <c r="AF6">
        <v>2</v>
      </c>
      <c r="AG6">
        <v>2</v>
      </c>
      <c r="AH6">
        <v>2</v>
      </c>
      <c r="AI6" s="2" t="s">
        <v>91</v>
      </c>
      <c r="AJ6">
        <f t="shared" si="0"/>
        <v>3.4</v>
      </c>
      <c r="AK6" t="str">
        <f t="shared" si="1"/>
        <v>Detractor</v>
      </c>
      <c r="AL6" t="str">
        <f t="shared" si="2"/>
        <v>Low/moderate risk</v>
      </c>
      <c r="AM6" t="str">
        <f t="shared" si="3"/>
        <v>No</v>
      </c>
    </row>
    <row r="7" spans="1:39" ht="29" x14ac:dyDescent="0.35">
      <c r="A7" s="1">
        <v>46200.052951388891</v>
      </c>
      <c r="B7" s="1">
        <v>46200.056157407409</v>
      </c>
      <c r="C7">
        <v>0</v>
      </c>
      <c r="D7" s="2" t="s">
        <v>92</v>
      </c>
      <c r="E7">
        <v>100</v>
      </c>
      <c r="F7">
        <v>277</v>
      </c>
      <c r="G7">
        <v>1</v>
      </c>
      <c r="H7" s="1">
        <v>46200.056169004631</v>
      </c>
      <c r="I7" s="2" t="s">
        <v>93</v>
      </c>
      <c r="J7">
        <v>34.122700000000002</v>
      </c>
      <c r="K7">
        <v>-118.7573</v>
      </c>
      <c r="L7" s="2" t="s">
        <v>83</v>
      </c>
      <c r="M7" s="2" t="s">
        <v>78</v>
      </c>
      <c r="N7">
        <v>1</v>
      </c>
      <c r="O7">
        <v>2</v>
      </c>
      <c r="P7">
        <v>43</v>
      </c>
      <c r="Q7">
        <v>30</v>
      </c>
      <c r="R7">
        <v>43</v>
      </c>
      <c r="S7">
        <v>43</v>
      </c>
      <c r="T7">
        <v>43</v>
      </c>
      <c r="U7">
        <v>43</v>
      </c>
      <c r="V7">
        <v>43</v>
      </c>
      <c r="W7">
        <v>1</v>
      </c>
      <c r="X7">
        <v>43</v>
      </c>
      <c r="Y7">
        <v>5</v>
      </c>
      <c r="Z7">
        <v>4</v>
      </c>
      <c r="AA7">
        <v>4</v>
      </c>
      <c r="AB7">
        <v>5</v>
      </c>
      <c r="AC7">
        <v>3</v>
      </c>
      <c r="AD7">
        <v>2</v>
      </c>
      <c r="AE7">
        <v>7</v>
      </c>
      <c r="AF7">
        <v>1</v>
      </c>
      <c r="AG7">
        <v>1</v>
      </c>
      <c r="AH7">
        <v>2</v>
      </c>
      <c r="AI7" s="2" t="s">
        <v>94</v>
      </c>
      <c r="AJ7">
        <f t="shared" si="0"/>
        <v>4.2</v>
      </c>
      <c r="AK7" t="str">
        <f t="shared" si="1"/>
        <v>Passive</v>
      </c>
      <c r="AL7" t="str">
        <f t="shared" si="2"/>
        <v>Low/moderate risk</v>
      </c>
      <c r="AM7" t="str">
        <f t="shared" si="3"/>
        <v>Yes</v>
      </c>
    </row>
    <row r="8" spans="1:39" ht="29" x14ac:dyDescent="0.35">
      <c r="A8" s="1">
        <v>46200.244074074071</v>
      </c>
      <c r="B8" s="1">
        <v>46200.246145833335</v>
      </c>
      <c r="C8">
        <v>0</v>
      </c>
      <c r="D8" s="2" t="s">
        <v>95</v>
      </c>
      <c r="E8">
        <v>100</v>
      </c>
      <c r="F8">
        <v>179</v>
      </c>
      <c r="G8">
        <v>1</v>
      </c>
      <c r="H8" s="1">
        <v>46200.246162939817</v>
      </c>
      <c r="I8" s="2" t="s">
        <v>96</v>
      </c>
      <c r="J8">
        <v>39.884</v>
      </c>
      <c r="K8">
        <v>-74.972099999999998</v>
      </c>
      <c r="L8" s="2" t="s">
        <v>83</v>
      </c>
      <c r="M8" s="2" t="s">
        <v>78</v>
      </c>
      <c r="N8">
        <v>2</v>
      </c>
      <c r="O8">
        <v>1</v>
      </c>
      <c r="P8">
        <v>2</v>
      </c>
      <c r="Q8">
        <v>30</v>
      </c>
      <c r="R8">
        <v>43</v>
      </c>
      <c r="S8">
        <v>43</v>
      </c>
      <c r="T8">
        <v>43</v>
      </c>
      <c r="U8">
        <v>43</v>
      </c>
      <c r="V8">
        <v>43</v>
      </c>
      <c r="W8">
        <v>43</v>
      </c>
      <c r="X8">
        <v>43</v>
      </c>
      <c r="Y8">
        <v>4</v>
      </c>
      <c r="Z8">
        <v>4</v>
      </c>
      <c r="AA8">
        <v>4</v>
      </c>
      <c r="AB8">
        <v>4</v>
      </c>
      <c r="AC8">
        <v>3</v>
      </c>
      <c r="AD8">
        <v>2</v>
      </c>
      <c r="AE8">
        <v>7</v>
      </c>
      <c r="AF8">
        <v>2</v>
      </c>
      <c r="AG8">
        <v>4</v>
      </c>
      <c r="AH8">
        <v>1</v>
      </c>
      <c r="AI8" s="2" t="s">
        <v>97</v>
      </c>
      <c r="AJ8">
        <f t="shared" si="0"/>
        <v>3.8</v>
      </c>
      <c r="AK8" t="str">
        <f t="shared" si="1"/>
        <v>Passive</v>
      </c>
      <c r="AL8" t="str">
        <f t="shared" si="2"/>
        <v>High risk</v>
      </c>
      <c r="AM8" t="str">
        <f t="shared" si="3"/>
        <v>No</v>
      </c>
    </row>
    <row r="9" spans="1:39" ht="29" x14ac:dyDescent="0.35">
      <c r="A9" s="1">
        <v>46200.25271990741</v>
      </c>
      <c r="B9" s="1">
        <v>46200.253900462965</v>
      </c>
      <c r="C9">
        <v>0</v>
      </c>
      <c r="D9" s="2" t="s">
        <v>98</v>
      </c>
      <c r="E9">
        <v>100</v>
      </c>
      <c r="F9">
        <v>101</v>
      </c>
      <c r="G9">
        <v>1</v>
      </c>
      <c r="H9" s="1">
        <v>46200.253907650462</v>
      </c>
      <c r="I9" s="2" t="s">
        <v>99</v>
      </c>
      <c r="J9">
        <v>40.207000000000001</v>
      </c>
      <c r="K9">
        <v>-75.074399999999997</v>
      </c>
      <c r="L9" s="2" t="s">
        <v>83</v>
      </c>
      <c r="M9" s="2" t="s">
        <v>78</v>
      </c>
      <c r="N9">
        <v>1</v>
      </c>
      <c r="O9">
        <v>30</v>
      </c>
      <c r="P9">
        <v>1</v>
      </c>
      <c r="Q9">
        <v>43</v>
      </c>
      <c r="R9">
        <v>43</v>
      </c>
      <c r="S9">
        <v>43</v>
      </c>
      <c r="T9">
        <v>2</v>
      </c>
      <c r="U9">
        <v>43</v>
      </c>
      <c r="V9">
        <v>43</v>
      </c>
      <c r="W9">
        <v>43</v>
      </c>
      <c r="X9">
        <v>43</v>
      </c>
      <c r="Y9">
        <v>5</v>
      </c>
      <c r="Z9">
        <v>5</v>
      </c>
      <c r="AA9">
        <v>5</v>
      </c>
      <c r="AB9">
        <v>5</v>
      </c>
      <c r="AC9">
        <v>5</v>
      </c>
      <c r="AD9">
        <v>3</v>
      </c>
      <c r="AE9">
        <v>10</v>
      </c>
      <c r="AF9">
        <v>1</v>
      </c>
      <c r="AG9">
        <v>2</v>
      </c>
      <c r="AH9">
        <v>2</v>
      </c>
      <c r="AI9" s="2" t="s">
        <v>100</v>
      </c>
      <c r="AJ9">
        <f t="shared" si="0"/>
        <v>5</v>
      </c>
      <c r="AK9" t="str">
        <f t="shared" si="1"/>
        <v>Promoter</v>
      </c>
      <c r="AL9" t="str">
        <f t="shared" si="2"/>
        <v>Low/moderate risk</v>
      </c>
      <c r="AM9" t="str">
        <f t="shared" si="3"/>
        <v>No</v>
      </c>
    </row>
    <row r="10" spans="1:39" ht="29" x14ac:dyDescent="0.35">
      <c r="A10" s="1">
        <v>46200.256041666667</v>
      </c>
      <c r="B10" s="1">
        <v>46200.257002314815</v>
      </c>
      <c r="C10">
        <v>0</v>
      </c>
      <c r="D10" s="2" t="s">
        <v>101</v>
      </c>
      <c r="E10">
        <v>100</v>
      </c>
      <c r="F10">
        <v>82</v>
      </c>
      <c r="G10">
        <v>1</v>
      </c>
      <c r="H10" s="1">
        <v>46200.257012685186</v>
      </c>
      <c r="I10" s="2" t="s">
        <v>102</v>
      </c>
      <c r="J10">
        <v>39.663499999999999</v>
      </c>
      <c r="K10">
        <v>-84.243899999999996</v>
      </c>
      <c r="L10" s="2" t="s">
        <v>83</v>
      </c>
      <c r="M10" s="2" t="s">
        <v>78</v>
      </c>
      <c r="N10">
        <v>1</v>
      </c>
      <c r="O10">
        <v>1</v>
      </c>
      <c r="P10">
        <v>2</v>
      </c>
      <c r="Q10">
        <v>30</v>
      </c>
      <c r="R10">
        <v>43</v>
      </c>
      <c r="S10">
        <v>43</v>
      </c>
      <c r="T10">
        <v>43</v>
      </c>
      <c r="U10">
        <v>43</v>
      </c>
      <c r="V10">
        <v>43</v>
      </c>
      <c r="W10">
        <v>43</v>
      </c>
      <c r="X10">
        <v>43</v>
      </c>
      <c r="Y10">
        <v>1</v>
      </c>
      <c r="Z10">
        <v>1</v>
      </c>
      <c r="AA10">
        <v>3</v>
      </c>
      <c r="AB10">
        <v>4</v>
      </c>
      <c r="AC10">
        <v>3</v>
      </c>
      <c r="AD10">
        <v>1</v>
      </c>
      <c r="AE10">
        <v>3</v>
      </c>
      <c r="AF10">
        <v>1</v>
      </c>
      <c r="AG10">
        <v>5</v>
      </c>
      <c r="AH10">
        <v>1</v>
      </c>
      <c r="AI10" s="2" t="s">
        <v>103</v>
      </c>
      <c r="AJ10">
        <f t="shared" si="0"/>
        <v>2.4</v>
      </c>
      <c r="AK10" t="str">
        <f t="shared" si="1"/>
        <v>Detractor</v>
      </c>
      <c r="AL10" t="str">
        <f t="shared" si="2"/>
        <v>High risk</v>
      </c>
      <c r="AM10" t="str">
        <f t="shared" si="3"/>
        <v>No</v>
      </c>
    </row>
    <row r="11" spans="1:39" ht="29" x14ac:dyDescent="0.35">
      <c r="A11" s="1">
        <v>46200.258344907408</v>
      </c>
      <c r="B11" s="1">
        <v>46200.259282407409</v>
      </c>
      <c r="C11">
        <v>0</v>
      </c>
      <c r="D11" s="2" t="s">
        <v>104</v>
      </c>
      <c r="E11">
        <v>100</v>
      </c>
      <c r="F11">
        <v>80</v>
      </c>
      <c r="G11">
        <v>1</v>
      </c>
      <c r="H11" s="1">
        <v>46200.259296493059</v>
      </c>
      <c r="I11" s="2" t="s">
        <v>105</v>
      </c>
      <c r="J11">
        <v>40.310200000000002</v>
      </c>
      <c r="K11">
        <v>-76.038799999999995</v>
      </c>
      <c r="L11" s="2" t="s">
        <v>83</v>
      </c>
      <c r="M11" s="2" t="s">
        <v>78</v>
      </c>
      <c r="N11">
        <v>1</v>
      </c>
      <c r="O11">
        <v>1</v>
      </c>
      <c r="P11">
        <v>43</v>
      </c>
      <c r="Q11">
        <v>43</v>
      </c>
      <c r="R11">
        <v>43</v>
      </c>
      <c r="S11">
        <v>43</v>
      </c>
      <c r="T11">
        <v>30</v>
      </c>
      <c r="U11">
        <v>43</v>
      </c>
      <c r="V11">
        <v>43</v>
      </c>
      <c r="W11">
        <v>2</v>
      </c>
      <c r="X11">
        <v>43</v>
      </c>
      <c r="Y11">
        <v>4</v>
      </c>
      <c r="Z11">
        <v>4</v>
      </c>
      <c r="AA11">
        <v>4</v>
      </c>
      <c r="AB11">
        <v>4</v>
      </c>
      <c r="AC11">
        <v>4</v>
      </c>
      <c r="AD11">
        <v>3</v>
      </c>
      <c r="AE11">
        <v>10</v>
      </c>
      <c r="AF11">
        <v>2</v>
      </c>
      <c r="AG11">
        <v>1</v>
      </c>
      <c r="AH11">
        <v>2</v>
      </c>
      <c r="AI11" s="2" t="s">
        <v>75</v>
      </c>
      <c r="AJ11">
        <f t="shared" si="0"/>
        <v>4</v>
      </c>
      <c r="AK11" t="str">
        <f t="shared" si="1"/>
        <v>Promoter</v>
      </c>
      <c r="AL11" t="str">
        <f t="shared" si="2"/>
        <v>Low/moderate risk</v>
      </c>
      <c r="AM11" t="str">
        <f t="shared" si="3"/>
        <v>Yes</v>
      </c>
    </row>
    <row r="12" spans="1:39" ht="29" x14ac:dyDescent="0.35">
      <c r="A12" s="1">
        <v>46200.260520833333</v>
      </c>
      <c r="B12" s="1">
        <v>46200.261944444443</v>
      </c>
      <c r="C12">
        <v>0</v>
      </c>
      <c r="D12" s="2" t="s">
        <v>106</v>
      </c>
      <c r="E12">
        <v>100</v>
      </c>
      <c r="F12">
        <v>122</v>
      </c>
      <c r="G12">
        <v>1</v>
      </c>
      <c r="H12" s="1">
        <v>46200.261950763888</v>
      </c>
      <c r="I12" s="2" t="s">
        <v>107</v>
      </c>
      <c r="J12">
        <v>37.754800000000003</v>
      </c>
      <c r="K12">
        <v>-84.298500000000004</v>
      </c>
      <c r="L12" s="2" t="s">
        <v>83</v>
      </c>
      <c r="M12" s="2" t="s">
        <v>78</v>
      </c>
      <c r="N12">
        <v>1</v>
      </c>
      <c r="O12">
        <v>1</v>
      </c>
      <c r="P12">
        <v>43</v>
      </c>
      <c r="Q12">
        <v>43</v>
      </c>
      <c r="R12">
        <v>2</v>
      </c>
      <c r="S12">
        <v>30</v>
      </c>
      <c r="T12">
        <v>43</v>
      </c>
      <c r="U12">
        <v>43</v>
      </c>
      <c r="V12">
        <v>43</v>
      </c>
      <c r="W12">
        <v>43</v>
      </c>
      <c r="X12">
        <v>43</v>
      </c>
      <c r="Y12">
        <v>5</v>
      </c>
      <c r="Z12">
        <v>5</v>
      </c>
      <c r="AA12">
        <v>5</v>
      </c>
      <c r="AB12">
        <v>4</v>
      </c>
      <c r="AC12">
        <v>3</v>
      </c>
      <c r="AD12">
        <v>2</v>
      </c>
      <c r="AE12">
        <v>8</v>
      </c>
      <c r="AF12">
        <v>2</v>
      </c>
      <c r="AG12">
        <v>4</v>
      </c>
      <c r="AH12">
        <v>1</v>
      </c>
      <c r="AI12" s="2" t="s">
        <v>75</v>
      </c>
      <c r="AJ12">
        <f t="shared" si="0"/>
        <v>4.4000000000000004</v>
      </c>
      <c r="AK12" t="str">
        <f t="shared" si="1"/>
        <v>Passive</v>
      </c>
      <c r="AL12" t="str">
        <f t="shared" si="2"/>
        <v>High risk</v>
      </c>
      <c r="AM12" t="str">
        <f t="shared" si="3"/>
        <v>No</v>
      </c>
    </row>
    <row r="13" spans="1:39" ht="29" x14ac:dyDescent="0.35">
      <c r="A13" s="1">
        <v>46200.26295138889</v>
      </c>
      <c r="B13" s="1">
        <v>46200.264930555553</v>
      </c>
      <c r="C13">
        <v>0</v>
      </c>
      <c r="D13" s="2" t="s">
        <v>108</v>
      </c>
      <c r="E13">
        <v>100</v>
      </c>
      <c r="F13">
        <v>170</v>
      </c>
      <c r="G13">
        <v>1</v>
      </c>
      <c r="H13" s="1">
        <v>46200.264943333335</v>
      </c>
      <c r="I13" s="2" t="s">
        <v>109</v>
      </c>
      <c r="J13">
        <v>41.5749</v>
      </c>
      <c r="K13">
        <v>-90.608699999999999</v>
      </c>
      <c r="L13" s="2" t="s">
        <v>83</v>
      </c>
      <c r="M13" s="2" t="s">
        <v>78</v>
      </c>
      <c r="N13">
        <v>1</v>
      </c>
      <c r="O13">
        <v>1</v>
      </c>
      <c r="P13">
        <v>43</v>
      </c>
      <c r="Q13">
        <v>2</v>
      </c>
      <c r="R13">
        <v>43</v>
      </c>
      <c r="S13">
        <v>30</v>
      </c>
      <c r="T13">
        <v>43</v>
      </c>
      <c r="U13">
        <v>43</v>
      </c>
      <c r="V13">
        <v>43</v>
      </c>
      <c r="W13">
        <v>43</v>
      </c>
      <c r="X13">
        <v>43</v>
      </c>
      <c r="Y13">
        <v>5</v>
      </c>
      <c r="Z13">
        <v>5</v>
      </c>
      <c r="AA13">
        <v>5</v>
      </c>
      <c r="AB13">
        <v>4</v>
      </c>
      <c r="AC13">
        <v>4</v>
      </c>
      <c r="AD13">
        <v>2</v>
      </c>
      <c r="AE13">
        <v>8</v>
      </c>
      <c r="AF13">
        <v>1</v>
      </c>
      <c r="AG13">
        <v>2</v>
      </c>
      <c r="AH13">
        <v>2</v>
      </c>
      <c r="AI13" s="2" t="s">
        <v>75</v>
      </c>
      <c r="AJ13">
        <f t="shared" si="0"/>
        <v>4.5999999999999996</v>
      </c>
      <c r="AK13" t="str">
        <f t="shared" si="1"/>
        <v>Passive</v>
      </c>
      <c r="AL13" t="str">
        <f t="shared" si="2"/>
        <v>Low/moderate risk</v>
      </c>
      <c r="AM13" t="str">
        <f t="shared" si="3"/>
        <v>No</v>
      </c>
    </row>
    <row r="14" spans="1:39" ht="43.5" x14ac:dyDescent="0.35">
      <c r="A14" s="1">
        <v>46200.263101851851</v>
      </c>
      <c r="B14" s="1">
        <v>46200.267175925925</v>
      </c>
      <c r="C14">
        <v>0</v>
      </c>
      <c r="D14" s="2" t="s">
        <v>110</v>
      </c>
      <c r="E14">
        <v>100</v>
      </c>
      <c r="F14">
        <v>351</v>
      </c>
      <c r="G14">
        <v>1</v>
      </c>
      <c r="H14" s="1">
        <v>46200.26718628472</v>
      </c>
      <c r="I14" s="2" t="s">
        <v>111</v>
      </c>
      <c r="J14">
        <v>39.626100000000001</v>
      </c>
      <c r="K14">
        <v>-119.6996</v>
      </c>
      <c r="L14" s="2" t="s">
        <v>83</v>
      </c>
      <c r="M14" s="2" t="s">
        <v>78</v>
      </c>
      <c r="N14">
        <v>1</v>
      </c>
      <c r="O14">
        <v>30</v>
      </c>
      <c r="P14">
        <v>43</v>
      </c>
      <c r="Q14">
        <v>43</v>
      </c>
      <c r="R14">
        <v>43</v>
      </c>
      <c r="S14">
        <v>1</v>
      </c>
      <c r="T14">
        <v>43</v>
      </c>
      <c r="U14">
        <v>2</v>
      </c>
      <c r="V14">
        <v>43</v>
      </c>
      <c r="W14">
        <v>43</v>
      </c>
      <c r="X14">
        <v>43</v>
      </c>
      <c r="Y14">
        <v>5</v>
      </c>
      <c r="Z14">
        <v>5</v>
      </c>
      <c r="AA14">
        <v>5</v>
      </c>
      <c r="AB14">
        <v>2</v>
      </c>
      <c r="AC14">
        <v>3</v>
      </c>
      <c r="AD14">
        <v>2</v>
      </c>
      <c r="AE14">
        <v>8</v>
      </c>
      <c r="AF14">
        <v>2</v>
      </c>
      <c r="AG14">
        <v>4</v>
      </c>
      <c r="AH14">
        <v>1</v>
      </c>
      <c r="AI14" s="2" t="s">
        <v>112</v>
      </c>
      <c r="AJ14">
        <f t="shared" si="0"/>
        <v>4</v>
      </c>
      <c r="AK14" t="str">
        <f t="shared" si="1"/>
        <v>Passive</v>
      </c>
      <c r="AL14" t="str">
        <f t="shared" si="2"/>
        <v>High risk</v>
      </c>
      <c r="AM14" t="str">
        <f t="shared" si="3"/>
        <v>No</v>
      </c>
    </row>
    <row r="15" spans="1:39" ht="29" x14ac:dyDescent="0.35">
      <c r="A15" s="1">
        <v>46200.265706018516</v>
      </c>
      <c r="B15" s="1">
        <v>46200.267476851855</v>
      </c>
      <c r="C15">
        <v>0</v>
      </c>
      <c r="D15" s="2" t="s">
        <v>113</v>
      </c>
      <c r="E15">
        <v>100</v>
      </c>
      <c r="F15">
        <v>152</v>
      </c>
      <c r="G15">
        <v>1</v>
      </c>
      <c r="H15" s="1">
        <v>46200.267484432872</v>
      </c>
      <c r="I15" s="2" t="s">
        <v>114</v>
      </c>
      <c r="J15">
        <v>42.273899999999998</v>
      </c>
      <c r="K15">
        <v>-89.047399999999996</v>
      </c>
      <c r="L15" s="2" t="s">
        <v>83</v>
      </c>
      <c r="M15" s="2" t="s">
        <v>78</v>
      </c>
      <c r="N15">
        <v>2</v>
      </c>
      <c r="O15">
        <v>30</v>
      </c>
      <c r="P15">
        <v>1</v>
      </c>
      <c r="Q15">
        <v>2</v>
      </c>
      <c r="R15">
        <v>43</v>
      </c>
      <c r="S15">
        <v>30</v>
      </c>
      <c r="T15">
        <v>43</v>
      </c>
      <c r="U15">
        <v>43</v>
      </c>
      <c r="V15">
        <v>43</v>
      </c>
      <c r="W15">
        <v>43</v>
      </c>
      <c r="X15">
        <v>43</v>
      </c>
      <c r="Y15">
        <v>4</v>
      </c>
      <c r="Z15">
        <v>4</v>
      </c>
      <c r="AA15">
        <v>3</v>
      </c>
      <c r="AB15">
        <v>3</v>
      </c>
      <c r="AC15">
        <v>3</v>
      </c>
      <c r="AD15">
        <v>2</v>
      </c>
      <c r="AE15">
        <v>7</v>
      </c>
      <c r="AF15">
        <v>1</v>
      </c>
      <c r="AG15">
        <v>3</v>
      </c>
      <c r="AH15">
        <v>1</v>
      </c>
      <c r="AI15" s="2" t="s">
        <v>75</v>
      </c>
      <c r="AJ15">
        <f t="shared" si="0"/>
        <v>3.4</v>
      </c>
      <c r="AK15" t="str">
        <f t="shared" si="1"/>
        <v>Passive</v>
      </c>
      <c r="AL15" t="str">
        <f t="shared" si="2"/>
        <v>Low/moderate risk</v>
      </c>
      <c r="AM15" t="str">
        <f t="shared" si="3"/>
        <v>No</v>
      </c>
    </row>
    <row r="16" spans="1:39" ht="29" x14ac:dyDescent="0.35">
      <c r="A16" s="1">
        <v>46200.268252314818</v>
      </c>
      <c r="B16" s="1">
        <v>46200.269444444442</v>
      </c>
      <c r="C16">
        <v>0</v>
      </c>
      <c r="D16" s="2" t="s">
        <v>115</v>
      </c>
      <c r="E16">
        <v>100</v>
      </c>
      <c r="F16">
        <v>102</v>
      </c>
      <c r="G16">
        <v>1</v>
      </c>
      <c r="H16" s="1">
        <v>46200.269450891203</v>
      </c>
      <c r="I16" s="2" t="s">
        <v>116</v>
      </c>
      <c r="J16">
        <v>40.216299999999997</v>
      </c>
      <c r="K16">
        <v>-74.772400000000005</v>
      </c>
      <c r="L16" s="2" t="s">
        <v>83</v>
      </c>
      <c r="M16" s="2" t="s">
        <v>78</v>
      </c>
      <c r="N16">
        <v>1</v>
      </c>
      <c r="O16">
        <v>1</v>
      </c>
      <c r="P16">
        <v>43</v>
      </c>
      <c r="Q16">
        <v>2</v>
      </c>
      <c r="R16">
        <v>30</v>
      </c>
      <c r="S16">
        <v>43</v>
      </c>
      <c r="T16">
        <v>43</v>
      </c>
      <c r="U16">
        <v>43</v>
      </c>
      <c r="V16">
        <v>43</v>
      </c>
      <c r="W16">
        <v>43</v>
      </c>
      <c r="X16">
        <v>43</v>
      </c>
      <c r="Y16">
        <v>5</v>
      </c>
      <c r="Z16">
        <v>5</v>
      </c>
      <c r="AA16">
        <v>5</v>
      </c>
      <c r="AB16">
        <v>4</v>
      </c>
      <c r="AC16">
        <v>4</v>
      </c>
      <c r="AD16">
        <v>3</v>
      </c>
      <c r="AE16">
        <v>10</v>
      </c>
      <c r="AF16">
        <v>2</v>
      </c>
      <c r="AG16">
        <v>2</v>
      </c>
      <c r="AH16">
        <v>2</v>
      </c>
      <c r="AI16" s="2" t="s">
        <v>117</v>
      </c>
      <c r="AJ16">
        <f t="shared" si="0"/>
        <v>4.5999999999999996</v>
      </c>
      <c r="AK16" t="str">
        <f t="shared" si="1"/>
        <v>Promoter</v>
      </c>
      <c r="AL16" t="str">
        <f t="shared" si="2"/>
        <v>Low/moderate risk</v>
      </c>
      <c r="AM16" t="str">
        <f t="shared" si="3"/>
        <v>No</v>
      </c>
    </row>
    <row r="17" spans="1:39" ht="29" x14ac:dyDescent="0.35">
      <c r="A17" s="1">
        <v>46200.277118055557</v>
      </c>
      <c r="B17" s="1">
        <v>46200.279583333337</v>
      </c>
      <c r="C17">
        <v>0</v>
      </c>
      <c r="D17" s="2" t="s">
        <v>118</v>
      </c>
      <c r="E17">
        <v>100</v>
      </c>
      <c r="F17">
        <v>212</v>
      </c>
      <c r="G17">
        <v>1</v>
      </c>
      <c r="H17" s="1">
        <v>46200.279594907406</v>
      </c>
      <c r="I17" s="2" t="s">
        <v>119</v>
      </c>
      <c r="J17">
        <v>35.242600000000003</v>
      </c>
      <c r="K17">
        <v>-80.741</v>
      </c>
      <c r="L17" s="2" t="s">
        <v>83</v>
      </c>
      <c r="M17" s="2" t="s">
        <v>78</v>
      </c>
      <c r="N17">
        <v>1</v>
      </c>
      <c r="O17">
        <v>1</v>
      </c>
      <c r="P17">
        <v>43</v>
      </c>
      <c r="Q17">
        <v>43</v>
      </c>
      <c r="R17">
        <v>43</v>
      </c>
      <c r="S17">
        <v>30</v>
      </c>
      <c r="T17">
        <v>43</v>
      </c>
      <c r="U17">
        <v>43</v>
      </c>
      <c r="V17">
        <v>2</v>
      </c>
      <c r="W17">
        <v>43</v>
      </c>
      <c r="X17">
        <v>43</v>
      </c>
      <c r="Y17">
        <v>5</v>
      </c>
      <c r="Z17">
        <v>5</v>
      </c>
      <c r="AA17">
        <v>5</v>
      </c>
      <c r="AB17">
        <v>5</v>
      </c>
      <c r="AC17">
        <v>5</v>
      </c>
      <c r="AD17">
        <v>3</v>
      </c>
      <c r="AE17">
        <v>10</v>
      </c>
      <c r="AF17">
        <v>2</v>
      </c>
      <c r="AG17">
        <v>1</v>
      </c>
      <c r="AH17">
        <v>1</v>
      </c>
      <c r="AI17" s="2" t="s">
        <v>120</v>
      </c>
      <c r="AJ17">
        <f t="shared" si="0"/>
        <v>5</v>
      </c>
      <c r="AK17" t="str">
        <f t="shared" si="1"/>
        <v>Promoter</v>
      </c>
      <c r="AL17" t="str">
        <f t="shared" si="2"/>
        <v>Low/moderate risk</v>
      </c>
      <c r="AM17" t="str">
        <f t="shared" si="3"/>
        <v>Yes</v>
      </c>
    </row>
    <row r="18" spans="1:39" ht="29" x14ac:dyDescent="0.35">
      <c r="A18" s="1">
        <v>46200.296585648146</v>
      </c>
      <c r="B18" s="1">
        <v>46200.297939814816</v>
      </c>
      <c r="C18">
        <v>0</v>
      </c>
      <c r="D18" s="2" t="s">
        <v>121</v>
      </c>
      <c r="E18">
        <v>100</v>
      </c>
      <c r="F18">
        <v>117</v>
      </c>
      <c r="G18">
        <v>1</v>
      </c>
      <c r="H18" s="1">
        <v>46200.297951099536</v>
      </c>
      <c r="I18" s="2" t="s">
        <v>122</v>
      </c>
      <c r="J18">
        <v>39.9587</v>
      </c>
      <c r="K18">
        <v>-82.998699999999999</v>
      </c>
      <c r="L18" s="2" t="s">
        <v>83</v>
      </c>
      <c r="M18" s="2" t="s">
        <v>78</v>
      </c>
      <c r="N18">
        <v>1</v>
      </c>
      <c r="O18">
        <v>1</v>
      </c>
      <c r="P18">
        <v>30</v>
      </c>
      <c r="Q18">
        <v>2</v>
      </c>
      <c r="R18">
        <v>43</v>
      </c>
      <c r="S18">
        <v>43</v>
      </c>
      <c r="T18">
        <v>43</v>
      </c>
      <c r="U18">
        <v>43</v>
      </c>
      <c r="V18">
        <v>43</v>
      </c>
      <c r="W18">
        <v>43</v>
      </c>
      <c r="X18">
        <v>43</v>
      </c>
      <c r="Y18">
        <v>4</v>
      </c>
      <c r="Z18">
        <v>4</v>
      </c>
      <c r="AA18">
        <v>4</v>
      </c>
      <c r="AB18">
        <v>3</v>
      </c>
      <c r="AC18">
        <v>4</v>
      </c>
      <c r="AD18">
        <v>2</v>
      </c>
      <c r="AE18">
        <v>7</v>
      </c>
      <c r="AF18">
        <v>1</v>
      </c>
      <c r="AG18">
        <v>2</v>
      </c>
      <c r="AH18">
        <v>1</v>
      </c>
      <c r="AI18" s="2" t="s">
        <v>75</v>
      </c>
      <c r="AJ18">
        <f t="shared" si="0"/>
        <v>3.8</v>
      </c>
      <c r="AK18" t="str">
        <f t="shared" si="1"/>
        <v>Passive</v>
      </c>
      <c r="AL18" t="str">
        <f t="shared" si="2"/>
        <v>Low/moderate risk</v>
      </c>
      <c r="AM18" t="str">
        <f t="shared" si="3"/>
        <v>No</v>
      </c>
    </row>
    <row r="19" spans="1:39" ht="29" x14ac:dyDescent="0.35">
      <c r="A19" s="1">
        <v>46200.302766203706</v>
      </c>
      <c r="B19" s="1">
        <v>46200.303900462961</v>
      </c>
      <c r="C19">
        <v>0</v>
      </c>
      <c r="D19" s="2" t="s">
        <v>123</v>
      </c>
      <c r="E19">
        <v>100</v>
      </c>
      <c r="F19">
        <v>98</v>
      </c>
      <c r="G19">
        <v>1</v>
      </c>
      <c r="H19" s="1">
        <v>46200.303913229167</v>
      </c>
      <c r="I19" s="2" t="s">
        <v>124</v>
      </c>
      <c r="J19">
        <v>41.850200000000001</v>
      </c>
      <c r="K19">
        <v>-87.673599999999993</v>
      </c>
      <c r="L19" s="2" t="s">
        <v>83</v>
      </c>
      <c r="M19" s="2" t="s">
        <v>78</v>
      </c>
      <c r="N19">
        <v>1</v>
      </c>
      <c r="O19">
        <v>2</v>
      </c>
      <c r="P19">
        <v>30</v>
      </c>
      <c r="Q19">
        <v>43</v>
      </c>
      <c r="R19">
        <v>43</v>
      </c>
      <c r="S19">
        <v>43</v>
      </c>
      <c r="T19">
        <v>43</v>
      </c>
      <c r="U19">
        <v>43</v>
      </c>
      <c r="V19">
        <v>43</v>
      </c>
      <c r="W19">
        <v>1</v>
      </c>
      <c r="X19">
        <v>43</v>
      </c>
      <c r="Y19">
        <v>5</v>
      </c>
      <c r="Z19">
        <v>4</v>
      </c>
      <c r="AA19">
        <v>4</v>
      </c>
      <c r="AB19">
        <v>2</v>
      </c>
      <c r="AC19">
        <v>4</v>
      </c>
      <c r="AD19">
        <v>3</v>
      </c>
      <c r="AE19">
        <v>9</v>
      </c>
      <c r="AF19">
        <v>1</v>
      </c>
      <c r="AG19">
        <v>4</v>
      </c>
      <c r="AH19">
        <v>1</v>
      </c>
      <c r="AI19" s="2" t="s">
        <v>125</v>
      </c>
      <c r="AJ19">
        <f t="shared" si="0"/>
        <v>3.8</v>
      </c>
      <c r="AK19" t="str">
        <f t="shared" si="1"/>
        <v>Promoter</v>
      </c>
      <c r="AL19" t="str">
        <f t="shared" si="2"/>
        <v>High risk</v>
      </c>
      <c r="AM19" t="str">
        <f t="shared" si="3"/>
        <v>No</v>
      </c>
    </row>
    <row r="20" spans="1:39" ht="29" x14ac:dyDescent="0.35">
      <c r="A20" s="1">
        <v>46200.316122685188</v>
      </c>
      <c r="B20" s="1">
        <v>46200.317673611113</v>
      </c>
      <c r="C20">
        <v>0</v>
      </c>
      <c r="D20" s="2" t="s">
        <v>126</v>
      </c>
      <c r="E20">
        <v>100</v>
      </c>
      <c r="F20">
        <v>133</v>
      </c>
      <c r="G20">
        <v>1</v>
      </c>
      <c r="H20" s="1">
        <v>46200.31768039352</v>
      </c>
      <c r="I20" s="2" t="s">
        <v>127</v>
      </c>
      <c r="J20">
        <v>42.995800000000003</v>
      </c>
      <c r="K20">
        <v>-89.549899999999994</v>
      </c>
      <c r="L20" s="2" t="s">
        <v>83</v>
      </c>
      <c r="M20" s="2" t="s">
        <v>78</v>
      </c>
      <c r="N20">
        <v>1</v>
      </c>
      <c r="O20">
        <v>43</v>
      </c>
      <c r="P20">
        <v>43</v>
      </c>
      <c r="Q20">
        <v>43</v>
      </c>
      <c r="R20">
        <v>1</v>
      </c>
      <c r="S20">
        <v>43</v>
      </c>
      <c r="T20">
        <v>30</v>
      </c>
      <c r="U20">
        <v>43</v>
      </c>
      <c r="V20">
        <v>2</v>
      </c>
      <c r="W20">
        <v>43</v>
      </c>
      <c r="X20">
        <v>43</v>
      </c>
      <c r="Y20">
        <v>5</v>
      </c>
      <c r="Z20">
        <v>4</v>
      </c>
      <c r="AA20">
        <v>3</v>
      </c>
      <c r="AB20">
        <v>4</v>
      </c>
      <c r="AC20">
        <v>2</v>
      </c>
      <c r="AD20">
        <v>1</v>
      </c>
      <c r="AE20">
        <v>6</v>
      </c>
      <c r="AF20">
        <v>2</v>
      </c>
      <c r="AG20">
        <v>5</v>
      </c>
      <c r="AH20">
        <v>1</v>
      </c>
      <c r="AI20" s="2" t="s">
        <v>128</v>
      </c>
      <c r="AJ20">
        <f t="shared" si="0"/>
        <v>3.6</v>
      </c>
      <c r="AK20" t="str">
        <f t="shared" si="1"/>
        <v>Detractor</v>
      </c>
      <c r="AL20" t="str">
        <f t="shared" si="2"/>
        <v>High risk</v>
      </c>
      <c r="AM20" t="str">
        <f t="shared" si="3"/>
        <v>No</v>
      </c>
    </row>
    <row r="21" spans="1:39" ht="29" x14ac:dyDescent="0.35">
      <c r="A21" s="1">
        <v>46200.321111111109</v>
      </c>
      <c r="B21" s="1">
        <v>46200.323935185188</v>
      </c>
      <c r="C21">
        <v>0</v>
      </c>
      <c r="D21" s="2" t="s">
        <v>129</v>
      </c>
      <c r="E21">
        <v>100</v>
      </c>
      <c r="F21">
        <v>243</v>
      </c>
      <c r="G21">
        <v>1</v>
      </c>
      <c r="H21" s="1">
        <v>46200.323942962961</v>
      </c>
      <c r="I21" s="2" t="s">
        <v>130</v>
      </c>
      <c r="J21">
        <v>33.93</v>
      </c>
      <c r="K21">
        <v>-117.9477</v>
      </c>
      <c r="L21" s="2" t="s">
        <v>83</v>
      </c>
      <c r="M21" s="2" t="s">
        <v>78</v>
      </c>
      <c r="N21">
        <v>1</v>
      </c>
      <c r="O21">
        <v>2</v>
      </c>
      <c r="P21" s="2" t="s">
        <v>75</v>
      </c>
      <c r="Q21" s="2" t="s">
        <v>75</v>
      </c>
      <c r="R21" s="2" t="s">
        <v>75</v>
      </c>
      <c r="S21">
        <v>1</v>
      </c>
      <c r="T21">
        <v>43</v>
      </c>
      <c r="U21">
        <v>30</v>
      </c>
      <c r="V21">
        <v>43</v>
      </c>
      <c r="W21" s="2" t="s">
        <v>75</v>
      </c>
      <c r="X21" s="2" t="s">
        <v>75</v>
      </c>
      <c r="Y21">
        <v>5</v>
      </c>
      <c r="Z21">
        <v>4</v>
      </c>
      <c r="AA21">
        <v>4</v>
      </c>
      <c r="AB21">
        <v>4</v>
      </c>
      <c r="AC21">
        <v>3</v>
      </c>
      <c r="AD21">
        <v>3</v>
      </c>
      <c r="AE21">
        <v>9</v>
      </c>
      <c r="AF21">
        <v>2</v>
      </c>
      <c r="AG21">
        <v>2</v>
      </c>
      <c r="AH21">
        <v>2</v>
      </c>
      <c r="AI21" s="2" t="s">
        <v>131</v>
      </c>
      <c r="AJ21">
        <f t="shared" si="0"/>
        <v>4</v>
      </c>
      <c r="AK21" t="str">
        <f t="shared" si="1"/>
        <v>Promoter</v>
      </c>
      <c r="AL21" t="str">
        <f t="shared" si="2"/>
        <v>Low/moderate risk</v>
      </c>
      <c r="AM21" t="str">
        <f t="shared" si="3"/>
        <v>No</v>
      </c>
    </row>
    <row r="22" spans="1:39" ht="29" x14ac:dyDescent="0.35">
      <c r="A22" s="1">
        <v>46200.329479166663</v>
      </c>
      <c r="B22" s="1">
        <v>46200.331099537034</v>
      </c>
      <c r="C22">
        <v>0</v>
      </c>
      <c r="D22" s="2" t="s">
        <v>132</v>
      </c>
      <c r="E22">
        <v>100</v>
      </c>
      <c r="F22">
        <v>139</v>
      </c>
      <c r="G22">
        <v>1</v>
      </c>
      <c r="H22" s="1">
        <v>46200.33110614583</v>
      </c>
      <c r="I22" s="2" t="s">
        <v>133</v>
      </c>
      <c r="J22">
        <v>36.180500000000002</v>
      </c>
      <c r="K22">
        <v>-94.5304</v>
      </c>
      <c r="L22" s="2" t="s">
        <v>83</v>
      </c>
      <c r="M22" s="2" t="s">
        <v>78</v>
      </c>
      <c r="N22">
        <v>1</v>
      </c>
      <c r="O22">
        <v>30</v>
      </c>
      <c r="P22">
        <v>43</v>
      </c>
      <c r="Q22">
        <v>1</v>
      </c>
      <c r="R22">
        <v>43</v>
      </c>
      <c r="S22">
        <v>43</v>
      </c>
      <c r="T22">
        <v>2</v>
      </c>
      <c r="U22">
        <v>43</v>
      </c>
      <c r="V22">
        <v>43</v>
      </c>
      <c r="W22">
        <v>43</v>
      </c>
      <c r="X22">
        <v>43</v>
      </c>
      <c r="Y22">
        <v>5</v>
      </c>
      <c r="Z22">
        <v>5</v>
      </c>
      <c r="AA22">
        <v>5</v>
      </c>
      <c r="AB22">
        <v>3</v>
      </c>
      <c r="AC22">
        <v>5</v>
      </c>
      <c r="AD22">
        <v>3</v>
      </c>
      <c r="AE22">
        <v>10</v>
      </c>
      <c r="AF22">
        <v>1</v>
      </c>
      <c r="AG22">
        <v>5</v>
      </c>
      <c r="AH22">
        <v>1</v>
      </c>
      <c r="AI22" s="2" t="s">
        <v>134</v>
      </c>
      <c r="AJ22">
        <f t="shared" si="0"/>
        <v>4.5999999999999996</v>
      </c>
      <c r="AK22" t="str">
        <f t="shared" si="1"/>
        <v>Promoter</v>
      </c>
      <c r="AL22" t="str">
        <f t="shared" si="2"/>
        <v>High risk</v>
      </c>
      <c r="AM22" t="str">
        <f t="shared" si="3"/>
        <v>No</v>
      </c>
    </row>
    <row r="23" spans="1:39" ht="29" x14ac:dyDescent="0.35">
      <c r="A23" s="1">
        <v>46200.351793981485</v>
      </c>
      <c r="B23" s="1">
        <v>46200.354525462964</v>
      </c>
      <c r="C23">
        <v>0</v>
      </c>
      <c r="D23" s="2" t="s">
        <v>135</v>
      </c>
      <c r="E23">
        <v>100</v>
      </c>
      <c r="F23">
        <v>235</v>
      </c>
      <c r="G23">
        <v>1</v>
      </c>
      <c r="H23" s="1">
        <v>46200.354537893516</v>
      </c>
      <c r="I23" s="2" t="s">
        <v>136</v>
      </c>
      <c r="J23">
        <v>34.058700000000002</v>
      </c>
      <c r="K23">
        <v>-118.27809999999999</v>
      </c>
      <c r="L23" s="2" t="s">
        <v>83</v>
      </c>
      <c r="M23" s="2" t="s">
        <v>78</v>
      </c>
      <c r="N23">
        <v>1</v>
      </c>
      <c r="O23">
        <v>30</v>
      </c>
      <c r="P23">
        <v>43</v>
      </c>
      <c r="Q23">
        <v>43</v>
      </c>
      <c r="R23">
        <v>43</v>
      </c>
      <c r="S23">
        <v>2</v>
      </c>
      <c r="T23">
        <v>43</v>
      </c>
      <c r="U23">
        <v>43</v>
      </c>
      <c r="V23">
        <v>43</v>
      </c>
      <c r="W23">
        <v>1</v>
      </c>
      <c r="X23">
        <v>43</v>
      </c>
      <c r="Y23">
        <v>5</v>
      </c>
      <c r="Z23">
        <v>5</v>
      </c>
      <c r="AA23">
        <v>5</v>
      </c>
      <c r="AB23">
        <v>5</v>
      </c>
      <c r="AC23">
        <v>5</v>
      </c>
      <c r="AD23">
        <v>3</v>
      </c>
      <c r="AE23">
        <v>10</v>
      </c>
      <c r="AF23">
        <v>1</v>
      </c>
      <c r="AG23">
        <v>2</v>
      </c>
      <c r="AH23">
        <v>2</v>
      </c>
      <c r="AI23" s="2" t="s">
        <v>75</v>
      </c>
      <c r="AJ23">
        <f t="shared" si="0"/>
        <v>5</v>
      </c>
      <c r="AK23" t="str">
        <f t="shared" si="1"/>
        <v>Promoter</v>
      </c>
      <c r="AL23" t="str">
        <f t="shared" si="2"/>
        <v>Low/moderate risk</v>
      </c>
      <c r="AM23" t="str">
        <f t="shared" si="3"/>
        <v>No</v>
      </c>
    </row>
    <row r="24" spans="1:39" ht="29" x14ac:dyDescent="0.35">
      <c r="A24" s="1">
        <v>46200.356979166667</v>
      </c>
      <c r="B24" s="1">
        <v>46200.358680555553</v>
      </c>
      <c r="C24">
        <v>0</v>
      </c>
      <c r="D24" s="2" t="s">
        <v>137</v>
      </c>
      <c r="E24">
        <v>100</v>
      </c>
      <c r="F24">
        <v>146</v>
      </c>
      <c r="G24">
        <v>1</v>
      </c>
      <c r="H24" s="1">
        <v>46200.35869458333</v>
      </c>
      <c r="I24" s="2" t="s">
        <v>138</v>
      </c>
      <c r="J24">
        <v>40.1586</v>
      </c>
      <c r="K24">
        <v>-75.281999999999996</v>
      </c>
      <c r="L24" s="2" t="s">
        <v>83</v>
      </c>
      <c r="M24" s="2" t="s">
        <v>78</v>
      </c>
      <c r="N24">
        <v>1</v>
      </c>
      <c r="O24">
        <v>1</v>
      </c>
      <c r="P24">
        <v>30</v>
      </c>
      <c r="Q24">
        <v>43</v>
      </c>
      <c r="R24">
        <v>43</v>
      </c>
      <c r="S24">
        <v>2</v>
      </c>
      <c r="T24">
        <v>43</v>
      </c>
      <c r="U24">
        <v>43</v>
      </c>
      <c r="V24">
        <v>43</v>
      </c>
      <c r="W24">
        <v>43</v>
      </c>
      <c r="X24">
        <v>43</v>
      </c>
      <c r="Y24">
        <v>5</v>
      </c>
      <c r="Z24">
        <v>4</v>
      </c>
      <c r="AA24">
        <v>4</v>
      </c>
      <c r="AB24">
        <v>3</v>
      </c>
      <c r="AC24">
        <v>3</v>
      </c>
      <c r="AD24">
        <v>2</v>
      </c>
      <c r="AE24">
        <v>8</v>
      </c>
      <c r="AF24">
        <v>2</v>
      </c>
      <c r="AG24">
        <v>4</v>
      </c>
      <c r="AH24">
        <v>1</v>
      </c>
      <c r="AI24" s="2" t="s">
        <v>139</v>
      </c>
      <c r="AJ24">
        <f t="shared" si="0"/>
        <v>3.8</v>
      </c>
      <c r="AK24" t="str">
        <f t="shared" si="1"/>
        <v>Passive</v>
      </c>
      <c r="AL24" t="str">
        <f t="shared" si="2"/>
        <v>High risk</v>
      </c>
      <c r="AM24" t="str">
        <f t="shared" si="3"/>
        <v>No</v>
      </c>
    </row>
    <row r="25" spans="1:39" ht="29" x14ac:dyDescent="0.35">
      <c r="A25" s="1">
        <v>46200.382303240738</v>
      </c>
      <c r="B25" s="1">
        <v>46200.383599537039</v>
      </c>
      <c r="C25">
        <v>0</v>
      </c>
      <c r="D25" s="2" t="s">
        <v>140</v>
      </c>
      <c r="E25">
        <v>100</v>
      </c>
      <c r="F25">
        <v>112</v>
      </c>
      <c r="G25">
        <v>1</v>
      </c>
      <c r="H25" s="1">
        <v>46200.38361759259</v>
      </c>
      <c r="I25" s="2" t="s">
        <v>141</v>
      </c>
      <c r="J25">
        <v>29.7026</v>
      </c>
      <c r="K25">
        <v>-98.475899999999996</v>
      </c>
      <c r="L25" s="2" t="s">
        <v>83</v>
      </c>
      <c r="M25" s="2" t="s">
        <v>78</v>
      </c>
      <c r="N25">
        <v>1</v>
      </c>
      <c r="O25">
        <v>1</v>
      </c>
      <c r="P25">
        <v>2</v>
      </c>
      <c r="Q25">
        <v>30</v>
      </c>
      <c r="R25">
        <v>43</v>
      </c>
      <c r="S25">
        <v>43</v>
      </c>
      <c r="T25" s="2" t="s">
        <v>75</v>
      </c>
      <c r="U25" s="2" t="s">
        <v>75</v>
      </c>
      <c r="V25">
        <v>43</v>
      </c>
      <c r="W25" s="2" t="s">
        <v>75</v>
      </c>
      <c r="X25" s="2" t="s">
        <v>75</v>
      </c>
      <c r="Y25">
        <v>5</v>
      </c>
      <c r="Z25">
        <v>4</v>
      </c>
      <c r="AA25">
        <v>4</v>
      </c>
      <c r="AB25">
        <v>2</v>
      </c>
      <c r="AC25">
        <v>3</v>
      </c>
      <c r="AD25">
        <v>2</v>
      </c>
      <c r="AE25">
        <v>7</v>
      </c>
      <c r="AF25">
        <v>1</v>
      </c>
      <c r="AG25">
        <v>1</v>
      </c>
      <c r="AH25">
        <v>2</v>
      </c>
      <c r="AI25" s="2" t="s">
        <v>142</v>
      </c>
      <c r="AJ25">
        <f t="shared" si="0"/>
        <v>3.6</v>
      </c>
      <c r="AK25" t="str">
        <f t="shared" si="1"/>
        <v>Passive</v>
      </c>
      <c r="AL25" t="str">
        <f t="shared" si="2"/>
        <v>Low/moderate risk</v>
      </c>
      <c r="AM25" t="str">
        <f t="shared" si="3"/>
        <v>Yes</v>
      </c>
    </row>
    <row r="26" spans="1:39" ht="29" x14ac:dyDescent="0.35">
      <c r="A26" s="1">
        <v>46200.419456018521</v>
      </c>
      <c r="B26" s="1">
        <v>46200.420567129629</v>
      </c>
      <c r="C26">
        <v>0</v>
      </c>
      <c r="D26" s="2" t="s">
        <v>143</v>
      </c>
      <c r="E26">
        <v>100</v>
      </c>
      <c r="F26">
        <v>95</v>
      </c>
      <c r="G26">
        <v>1</v>
      </c>
      <c r="H26" s="1">
        <v>46200.42057425926</v>
      </c>
      <c r="I26" s="2" t="s">
        <v>144</v>
      </c>
      <c r="J26">
        <v>33.468299999999999</v>
      </c>
      <c r="K26">
        <v>-112.0549</v>
      </c>
      <c r="L26" s="2" t="s">
        <v>83</v>
      </c>
      <c r="M26" s="2" t="s">
        <v>78</v>
      </c>
      <c r="N26">
        <v>1</v>
      </c>
      <c r="O26">
        <v>1</v>
      </c>
      <c r="P26">
        <v>2</v>
      </c>
      <c r="Q26">
        <v>43</v>
      </c>
      <c r="R26">
        <v>43</v>
      </c>
      <c r="S26">
        <v>30</v>
      </c>
      <c r="T26">
        <v>43</v>
      </c>
      <c r="U26">
        <v>43</v>
      </c>
      <c r="V26">
        <v>43</v>
      </c>
      <c r="W26">
        <v>43</v>
      </c>
      <c r="X26">
        <v>43</v>
      </c>
      <c r="Y26">
        <v>5</v>
      </c>
      <c r="Z26">
        <v>4</v>
      </c>
      <c r="AA26">
        <v>4</v>
      </c>
      <c r="AB26">
        <v>3</v>
      </c>
      <c r="AC26">
        <v>3</v>
      </c>
      <c r="AD26">
        <v>2</v>
      </c>
      <c r="AE26">
        <v>7</v>
      </c>
      <c r="AF26">
        <v>1</v>
      </c>
      <c r="AG26">
        <v>3</v>
      </c>
      <c r="AH26">
        <v>1</v>
      </c>
      <c r="AI26" s="2" t="s">
        <v>75</v>
      </c>
      <c r="AJ26">
        <f t="shared" si="0"/>
        <v>3.8</v>
      </c>
      <c r="AK26" t="str">
        <f t="shared" si="1"/>
        <v>Passive</v>
      </c>
      <c r="AL26" t="str">
        <f t="shared" si="2"/>
        <v>Low/moderate risk</v>
      </c>
      <c r="AM26" t="str">
        <f t="shared" si="3"/>
        <v>No</v>
      </c>
    </row>
    <row r="27" spans="1:39" ht="29" x14ac:dyDescent="0.35">
      <c r="A27" s="1">
        <v>46200.454305555555</v>
      </c>
      <c r="B27" s="1">
        <v>46200.45653935185</v>
      </c>
      <c r="C27">
        <v>0</v>
      </c>
      <c r="D27" s="2" t="s">
        <v>145</v>
      </c>
      <c r="E27">
        <v>100</v>
      </c>
      <c r="F27">
        <v>193</v>
      </c>
      <c r="G27">
        <v>1</v>
      </c>
      <c r="H27" s="1">
        <v>46200.456554745368</v>
      </c>
      <c r="I27" s="2" t="s">
        <v>146</v>
      </c>
      <c r="J27">
        <v>41.923000000000002</v>
      </c>
      <c r="K27">
        <v>-87.753100000000003</v>
      </c>
      <c r="L27" s="2" t="s">
        <v>83</v>
      </c>
      <c r="M27" s="2" t="s">
        <v>78</v>
      </c>
      <c r="N27">
        <v>3</v>
      </c>
      <c r="O27">
        <v>43</v>
      </c>
      <c r="P27">
        <v>43</v>
      </c>
      <c r="Q27">
        <v>43</v>
      </c>
      <c r="R27">
        <v>43</v>
      </c>
      <c r="S27">
        <v>2</v>
      </c>
      <c r="T27">
        <v>1</v>
      </c>
      <c r="U27">
        <v>30</v>
      </c>
      <c r="V27">
        <v>43</v>
      </c>
      <c r="W27">
        <v>43</v>
      </c>
      <c r="X27">
        <v>43</v>
      </c>
      <c r="Y27">
        <v>4</v>
      </c>
      <c r="Z27">
        <v>4</v>
      </c>
      <c r="AA27">
        <v>4</v>
      </c>
      <c r="AB27">
        <v>2</v>
      </c>
      <c r="AC27">
        <v>4</v>
      </c>
      <c r="AD27">
        <v>2</v>
      </c>
      <c r="AE27">
        <v>7</v>
      </c>
      <c r="AF27">
        <v>2</v>
      </c>
      <c r="AG27">
        <v>2</v>
      </c>
      <c r="AH27">
        <v>2</v>
      </c>
      <c r="AI27" s="2" t="s">
        <v>75</v>
      </c>
      <c r="AJ27">
        <f t="shared" si="0"/>
        <v>3.6</v>
      </c>
      <c r="AK27" t="str">
        <f t="shared" si="1"/>
        <v>Passive</v>
      </c>
      <c r="AL27" t="str">
        <f t="shared" si="2"/>
        <v>Low/moderate risk</v>
      </c>
      <c r="AM27" t="str">
        <f t="shared" si="3"/>
        <v>No</v>
      </c>
    </row>
    <row r="28" spans="1:39" ht="29" x14ac:dyDescent="0.35">
      <c r="A28" s="1">
        <v>46200.45890046296</v>
      </c>
      <c r="B28" s="1">
        <v>46200.460324074076</v>
      </c>
      <c r="C28">
        <v>0</v>
      </c>
      <c r="D28" s="2" t="s">
        <v>147</v>
      </c>
      <c r="E28">
        <v>100</v>
      </c>
      <c r="F28">
        <v>122</v>
      </c>
      <c r="G28">
        <v>1</v>
      </c>
      <c r="H28" s="1">
        <v>46200.460338564815</v>
      </c>
      <c r="I28" s="2" t="s">
        <v>148</v>
      </c>
      <c r="J28">
        <v>36.0154</v>
      </c>
      <c r="K28">
        <v>-83.414900000000003</v>
      </c>
      <c r="L28" s="2" t="s">
        <v>83</v>
      </c>
      <c r="M28" s="2" t="s">
        <v>78</v>
      </c>
      <c r="N28">
        <v>1</v>
      </c>
      <c r="O28">
        <v>1</v>
      </c>
      <c r="P28">
        <v>2</v>
      </c>
      <c r="Q28">
        <v>30</v>
      </c>
      <c r="R28">
        <v>43</v>
      </c>
      <c r="S28">
        <v>43</v>
      </c>
      <c r="T28">
        <v>43</v>
      </c>
      <c r="U28">
        <v>43</v>
      </c>
      <c r="V28">
        <v>43</v>
      </c>
      <c r="W28">
        <v>43</v>
      </c>
      <c r="X28">
        <v>43</v>
      </c>
      <c r="Y28">
        <v>5</v>
      </c>
      <c r="Z28">
        <v>5</v>
      </c>
      <c r="AA28">
        <v>5</v>
      </c>
      <c r="AB28">
        <v>3</v>
      </c>
      <c r="AC28">
        <v>4</v>
      </c>
      <c r="AD28">
        <v>2</v>
      </c>
      <c r="AE28">
        <v>7</v>
      </c>
      <c r="AF28">
        <v>1</v>
      </c>
      <c r="AG28">
        <v>3</v>
      </c>
      <c r="AH28">
        <v>1</v>
      </c>
      <c r="AI28" s="2" t="s">
        <v>149</v>
      </c>
      <c r="AJ28">
        <f t="shared" si="0"/>
        <v>4.4000000000000004</v>
      </c>
      <c r="AK28" t="str">
        <f t="shared" si="1"/>
        <v>Passive</v>
      </c>
      <c r="AL28" t="str">
        <f t="shared" si="2"/>
        <v>Low/moderate risk</v>
      </c>
      <c r="AM28" t="str">
        <f t="shared" si="3"/>
        <v>No</v>
      </c>
    </row>
    <row r="29" spans="1:39" ht="29" x14ac:dyDescent="0.35">
      <c r="A29" s="1">
        <v>46200.506990740738</v>
      </c>
      <c r="B29" s="1">
        <v>46200.51153935185</v>
      </c>
      <c r="C29">
        <v>0</v>
      </c>
      <c r="D29" s="2" t="s">
        <v>129</v>
      </c>
      <c r="E29">
        <v>100</v>
      </c>
      <c r="F29">
        <v>393</v>
      </c>
      <c r="G29">
        <v>1</v>
      </c>
      <c r="H29" s="1">
        <v>46200.511547453701</v>
      </c>
      <c r="I29" s="2" t="s">
        <v>150</v>
      </c>
      <c r="J29">
        <v>33.93</v>
      </c>
      <c r="K29">
        <v>-117.9477</v>
      </c>
      <c r="L29" s="2" t="s">
        <v>83</v>
      </c>
      <c r="M29" s="2" t="s">
        <v>78</v>
      </c>
      <c r="N29">
        <v>2</v>
      </c>
      <c r="O29">
        <v>30</v>
      </c>
      <c r="P29">
        <v>43</v>
      </c>
      <c r="Q29">
        <v>43</v>
      </c>
      <c r="R29">
        <v>43</v>
      </c>
      <c r="S29">
        <v>1</v>
      </c>
      <c r="T29">
        <v>43</v>
      </c>
      <c r="U29">
        <v>2</v>
      </c>
      <c r="V29">
        <v>43</v>
      </c>
      <c r="W29">
        <v>43</v>
      </c>
      <c r="X29">
        <v>43</v>
      </c>
      <c r="Y29">
        <v>1</v>
      </c>
      <c r="Z29">
        <v>1</v>
      </c>
      <c r="AA29">
        <v>1</v>
      </c>
      <c r="AB29">
        <v>1</v>
      </c>
      <c r="AC29">
        <v>1</v>
      </c>
      <c r="AD29">
        <v>3</v>
      </c>
      <c r="AE29">
        <v>10</v>
      </c>
      <c r="AF29">
        <v>1</v>
      </c>
      <c r="AG29">
        <v>3</v>
      </c>
      <c r="AH29">
        <v>2</v>
      </c>
      <c r="AI29" s="2" t="s">
        <v>75</v>
      </c>
      <c r="AJ29">
        <f t="shared" si="0"/>
        <v>1</v>
      </c>
      <c r="AK29" t="str">
        <f t="shared" si="1"/>
        <v>Promoter</v>
      </c>
      <c r="AL29" t="str">
        <f t="shared" si="2"/>
        <v>Low/moderate risk</v>
      </c>
      <c r="AM29" t="str">
        <f t="shared" si="3"/>
        <v>No</v>
      </c>
    </row>
    <row r="30" spans="1:39" ht="29" x14ac:dyDescent="0.35">
      <c r="A30" s="1">
        <v>46200.509895833333</v>
      </c>
      <c r="B30" s="1">
        <v>46200.512118055558</v>
      </c>
      <c r="C30">
        <v>0</v>
      </c>
      <c r="D30" s="2" t="s">
        <v>151</v>
      </c>
      <c r="E30">
        <v>100</v>
      </c>
      <c r="F30">
        <v>192</v>
      </c>
      <c r="G30">
        <v>1</v>
      </c>
      <c r="H30" s="1">
        <v>46200.512126921298</v>
      </c>
      <c r="I30" s="2" t="s">
        <v>152</v>
      </c>
      <c r="J30">
        <v>40.059800000000003</v>
      </c>
      <c r="K30">
        <v>-75.144800000000004</v>
      </c>
      <c r="L30" s="2" t="s">
        <v>83</v>
      </c>
      <c r="M30" s="2" t="s">
        <v>78</v>
      </c>
      <c r="N30">
        <v>1</v>
      </c>
      <c r="O30">
        <v>43</v>
      </c>
      <c r="P30">
        <v>43</v>
      </c>
      <c r="Q30">
        <v>43</v>
      </c>
      <c r="R30">
        <v>1</v>
      </c>
      <c r="S30">
        <v>2</v>
      </c>
      <c r="T30">
        <v>43</v>
      </c>
      <c r="U30">
        <v>1</v>
      </c>
      <c r="V30">
        <v>43</v>
      </c>
      <c r="W30">
        <v>43</v>
      </c>
      <c r="X30">
        <v>43</v>
      </c>
      <c r="Y30">
        <v>5</v>
      </c>
      <c r="Z30">
        <v>5</v>
      </c>
      <c r="AA30">
        <v>5</v>
      </c>
      <c r="AB30">
        <v>3</v>
      </c>
      <c r="AC30">
        <v>5</v>
      </c>
      <c r="AD30">
        <v>3</v>
      </c>
      <c r="AE30">
        <v>10</v>
      </c>
      <c r="AF30">
        <v>1</v>
      </c>
      <c r="AG30">
        <v>3</v>
      </c>
      <c r="AH30">
        <v>2</v>
      </c>
      <c r="AI30" s="2" t="s">
        <v>75</v>
      </c>
      <c r="AJ30">
        <f t="shared" si="0"/>
        <v>4.5999999999999996</v>
      </c>
      <c r="AK30" t="str">
        <f t="shared" si="1"/>
        <v>Promoter</v>
      </c>
      <c r="AL30" t="str">
        <f t="shared" si="2"/>
        <v>Low/moderate risk</v>
      </c>
      <c r="AM30" t="str">
        <f t="shared" si="3"/>
        <v>No</v>
      </c>
    </row>
    <row r="31" spans="1:39" ht="29" x14ac:dyDescent="0.35">
      <c r="A31" s="1">
        <v>46200.516759259262</v>
      </c>
      <c r="B31" s="1">
        <v>46200.518206018518</v>
      </c>
      <c r="C31">
        <v>0</v>
      </c>
      <c r="D31" s="2" t="s">
        <v>153</v>
      </c>
      <c r="E31">
        <v>100</v>
      </c>
      <c r="F31">
        <v>124</v>
      </c>
      <c r="G31">
        <v>1</v>
      </c>
      <c r="H31" s="1">
        <v>46200.518218206016</v>
      </c>
      <c r="I31" s="2" t="s">
        <v>154</v>
      </c>
      <c r="J31">
        <v>41.494300000000003</v>
      </c>
      <c r="K31">
        <v>-90.500100000000003</v>
      </c>
      <c r="L31" s="2" t="s">
        <v>83</v>
      </c>
      <c r="M31" s="2" t="s">
        <v>78</v>
      </c>
      <c r="N31">
        <v>1</v>
      </c>
      <c r="O31">
        <v>1</v>
      </c>
      <c r="P31">
        <v>43</v>
      </c>
      <c r="Q31">
        <v>43</v>
      </c>
      <c r="R31">
        <v>30</v>
      </c>
      <c r="S31">
        <v>43</v>
      </c>
      <c r="T31">
        <v>43</v>
      </c>
      <c r="U31">
        <v>43</v>
      </c>
      <c r="V31">
        <v>2</v>
      </c>
      <c r="W31">
        <v>43</v>
      </c>
      <c r="X31">
        <v>43</v>
      </c>
      <c r="Y31">
        <v>4</v>
      </c>
      <c r="Z31">
        <v>4</v>
      </c>
      <c r="AA31">
        <v>4</v>
      </c>
      <c r="AB31">
        <v>3</v>
      </c>
      <c r="AC31">
        <v>3</v>
      </c>
      <c r="AD31">
        <v>2</v>
      </c>
      <c r="AE31">
        <v>7</v>
      </c>
      <c r="AF31">
        <v>2</v>
      </c>
      <c r="AG31">
        <v>4</v>
      </c>
      <c r="AH31">
        <v>2</v>
      </c>
      <c r="AI31" s="2" t="s">
        <v>155</v>
      </c>
      <c r="AJ31">
        <f t="shared" si="0"/>
        <v>3.6</v>
      </c>
      <c r="AK31" t="str">
        <f t="shared" si="1"/>
        <v>Passive</v>
      </c>
      <c r="AL31" t="str">
        <f t="shared" si="2"/>
        <v>High risk</v>
      </c>
      <c r="AM31" t="str">
        <f t="shared" si="3"/>
        <v>No</v>
      </c>
    </row>
    <row r="32" spans="1:39" ht="29" x14ac:dyDescent="0.35">
      <c r="A32" s="1">
        <v>46200.5312962963</v>
      </c>
      <c r="B32" s="1">
        <v>46200.532604166663</v>
      </c>
      <c r="C32">
        <v>0</v>
      </c>
      <c r="D32" s="2" t="s">
        <v>156</v>
      </c>
      <c r="E32">
        <v>100</v>
      </c>
      <c r="F32">
        <v>112</v>
      </c>
      <c r="G32">
        <v>1</v>
      </c>
      <c r="H32" s="1">
        <v>46200.53261736111</v>
      </c>
      <c r="I32" s="2" t="s">
        <v>157</v>
      </c>
      <c r="J32">
        <v>40.238100000000003</v>
      </c>
      <c r="K32">
        <v>-74.782200000000003</v>
      </c>
      <c r="L32" s="2" t="s">
        <v>83</v>
      </c>
      <c r="M32" s="2" t="s">
        <v>78</v>
      </c>
      <c r="N32">
        <v>1</v>
      </c>
      <c r="O32">
        <v>30</v>
      </c>
      <c r="P32">
        <v>43</v>
      </c>
      <c r="Q32">
        <v>2</v>
      </c>
      <c r="R32">
        <v>43</v>
      </c>
      <c r="S32">
        <v>1</v>
      </c>
      <c r="T32">
        <v>43</v>
      </c>
      <c r="U32">
        <v>43</v>
      </c>
      <c r="V32">
        <v>43</v>
      </c>
      <c r="W32">
        <v>43</v>
      </c>
      <c r="X32">
        <v>43</v>
      </c>
      <c r="Y32">
        <v>5</v>
      </c>
      <c r="Z32">
        <v>4</v>
      </c>
      <c r="AA32">
        <v>3</v>
      </c>
      <c r="AB32">
        <v>3</v>
      </c>
      <c r="AC32">
        <v>3</v>
      </c>
      <c r="AD32">
        <v>1</v>
      </c>
      <c r="AE32">
        <v>5</v>
      </c>
      <c r="AF32">
        <v>3</v>
      </c>
      <c r="AG32">
        <v>4</v>
      </c>
      <c r="AH32">
        <v>1</v>
      </c>
      <c r="AI32" s="2" t="s">
        <v>75</v>
      </c>
      <c r="AJ32">
        <f t="shared" si="0"/>
        <v>3.6</v>
      </c>
      <c r="AK32" t="str">
        <f t="shared" si="1"/>
        <v>Detractor</v>
      </c>
      <c r="AL32" t="str">
        <f t="shared" si="2"/>
        <v>High risk</v>
      </c>
      <c r="AM32" t="str">
        <f t="shared" si="3"/>
        <v>No</v>
      </c>
    </row>
    <row r="33" spans="1:39" ht="29" x14ac:dyDescent="0.35">
      <c r="A33" s="1">
        <v>46200.544907407406</v>
      </c>
      <c r="B33" s="1">
        <v>46200.547222222223</v>
      </c>
      <c r="C33">
        <v>0</v>
      </c>
      <c r="D33" s="2" t="s">
        <v>158</v>
      </c>
      <c r="E33">
        <v>100</v>
      </c>
      <c r="F33">
        <v>200</v>
      </c>
      <c r="G33">
        <v>1</v>
      </c>
      <c r="H33" s="1">
        <v>46200.547232488425</v>
      </c>
      <c r="I33" s="2" t="s">
        <v>159</v>
      </c>
      <c r="J33">
        <v>33.109699999999997</v>
      </c>
      <c r="K33">
        <v>-117.06699999999999</v>
      </c>
      <c r="L33" s="2" t="s">
        <v>83</v>
      </c>
      <c r="M33" s="2" t="s">
        <v>78</v>
      </c>
      <c r="N33">
        <v>1</v>
      </c>
      <c r="O33">
        <v>43</v>
      </c>
      <c r="P33">
        <v>1</v>
      </c>
      <c r="Q33">
        <v>43</v>
      </c>
      <c r="R33">
        <v>30</v>
      </c>
      <c r="S33">
        <v>43</v>
      </c>
      <c r="T33">
        <v>2</v>
      </c>
      <c r="U33">
        <v>2</v>
      </c>
      <c r="V33">
        <v>43</v>
      </c>
      <c r="W33">
        <v>43</v>
      </c>
      <c r="X33">
        <v>43</v>
      </c>
      <c r="Y33">
        <v>4</v>
      </c>
      <c r="Z33">
        <v>3</v>
      </c>
      <c r="AA33">
        <v>3</v>
      </c>
      <c r="AB33">
        <v>2</v>
      </c>
      <c r="AC33">
        <v>2</v>
      </c>
      <c r="AD33">
        <v>1</v>
      </c>
      <c r="AE33">
        <v>3</v>
      </c>
      <c r="AF33">
        <v>3</v>
      </c>
      <c r="AG33">
        <v>5</v>
      </c>
      <c r="AH33">
        <v>1</v>
      </c>
      <c r="AI33" s="2" t="s">
        <v>160</v>
      </c>
      <c r="AJ33">
        <f t="shared" si="0"/>
        <v>2.8</v>
      </c>
      <c r="AK33" t="str">
        <f t="shared" si="1"/>
        <v>Detractor</v>
      </c>
      <c r="AL33" t="str">
        <f t="shared" si="2"/>
        <v>High risk</v>
      </c>
      <c r="AM33" t="str">
        <f t="shared" si="3"/>
        <v>No</v>
      </c>
    </row>
    <row r="34" spans="1:39" ht="29" x14ac:dyDescent="0.35">
      <c r="A34" s="1">
        <v>46200.545937499999</v>
      </c>
      <c r="B34" s="1">
        <v>46200.550497685188</v>
      </c>
      <c r="C34">
        <v>0</v>
      </c>
      <c r="D34" s="2" t="s">
        <v>161</v>
      </c>
      <c r="E34">
        <v>100</v>
      </c>
      <c r="F34">
        <v>394</v>
      </c>
      <c r="G34">
        <v>1</v>
      </c>
      <c r="H34" s="1">
        <v>46200.550514155089</v>
      </c>
      <c r="I34" s="2" t="s">
        <v>162</v>
      </c>
      <c r="J34">
        <v>26.414100000000001</v>
      </c>
      <c r="K34">
        <v>-80.097200000000001</v>
      </c>
      <c r="L34" s="2" t="s">
        <v>83</v>
      </c>
      <c r="M34" s="2" t="s">
        <v>78</v>
      </c>
      <c r="N34">
        <v>1</v>
      </c>
      <c r="O34">
        <v>2</v>
      </c>
      <c r="P34">
        <v>43</v>
      </c>
      <c r="Q34">
        <v>43</v>
      </c>
      <c r="R34">
        <v>1</v>
      </c>
      <c r="S34">
        <v>43</v>
      </c>
      <c r="T34">
        <v>43</v>
      </c>
      <c r="U34">
        <v>43</v>
      </c>
      <c r="V34">
        <v>30</v>
      </c>
      <c r="W34">
        <v>43</v>
      </c>
      <c r="X34">
        <v>43</v>
      </c>
      <c r="Y34">
        <v>5</v>
      </c>
      <c r="Z34">
        <v>5</v>
      </c>
      <c r="AA34">
        <v>5</v>
      </c>
      <c r="AB34">
        <v>5</v>
      </c>
      <c r="AC34">
        <v>5</v>
      </c>
      <c r="AD34">
        <v>3</v>
      </c>
      <c r="AE34">
        <v>10</v>
      </c>
      <c r="AF34">
        <v>2</v>
      </c>
      <c r="AG34">
        <v>1</v>
      </c>
      <c r="AH34">
        <v>2</v>
      </c>
      <c r="AI34" s="2" t="s">
        <v>75</v>
      </c>
      <c r="AJ34">
        <f t="shared" si="0"/>
        <v>5</v>
      </c>
      <c r="AK34" t="str">
        <f t="shared" si="1"/>
        <v>Promoter</v>
      </c>
      <c r="AL34" t="str">
        <f t="shared" si="2"/>
        <v>Low/moderate risk</v>
      </c>
      <c r="AM34" t="str">
        <f t="shared" si="3"/>
        <v>Yes</v>
      </c>
    </row>
    <row r="35" spans="1:39" ht="29" x14ac:dyDescent="0.35">
      <c r="A35" s="1">
        <v>46200.550578703704</v>
      </c>
      <c r="B35" s="1">
        <v>46200.551388888889</v>
      </c>
      <c r="C35">
        <v>0</v>
      </c>
      <c r="D35" s="2" t="s">
        <v>163</v>
      </c>
      <c r="E35">
        <v>100</v>
      </c>
      <c r="F35">
        <v>69</v>
      </c>
      <c r="G35">
        <v>1</v>
      </c>
      <c r="H35" s="1">
        <v>46200.551395601855</v>
      </c>
      <c r="I35" s="2" t="s">
        <v>164</v>
      </c>
      <c r="J35">
        <v>35.601700000000001</v>
      </c>
      <c r="K35">
        <v>139.7431</v>
      </c>
      <c r="L35" s="2" t="s">
        <v>83</v>
      </c>
      <c r="M35" s="2" t="s">
        <v>78</v>
      </c>
      <c r="N35">
        <v>1</v>
      </c>
      <c r="O35">
        <v>1</v>
      </c>
      <c r="P35">
        <v>2</v>
      </c>
      <c r="Q35">
        <v>43</v>
      </c>
      <c r="R35">
        <v>43</v>
      </c>
      <c r="S35">
        <v>30</v>
      </c>
      <c r="T35">
        <v>43</v>
      </c>
      <c r="U35">
        <v>43</v>
      </c>
      <c r="V35">
        <v>43</v>
      </c>
      <c r="W35">
        <v>43</v>
      </c>
      <c r="X35">
        <v>43</v>
      </c>
      <c r="Y35">
        <v>1</v>
      </c>
      <c r="Z35">
        <v>1</v>
      </c>
      <c r="AA35">
        <v>1</v>
      </c>
      <c r="AB35">
        <v>3</v>
      </c>
      <c r="AC35">
        <v>3</v>
      </c>
      <c r="AD35">
        <v>3</v>
      </c>
      <c r="AE35">
        <v>10</v>
      </c>
      <c r="AF35">
        <v>1</v>
      </c>
      <c r="AG35">
        <v>4</v>
      </c>
      <c r="AH35">
        <v>1</v>
      </c>
      <c r="AI35" s="2" t="s">
        <v>75</v>
      </c>
      <c r="AJ35">
        <f t="shared" si="0"/>
        <v>1.8</v>
      </c>
      <c r="AK35" t="str">
        <f t="shared" si="1"/>
        <v>Promoter</v>
      </c>
      <c r="AL35" t="str">
        <f t="shared" si="2"/>
        <v>High risk</v>
      </c>
      <c r="AM35" t="str">
        <f t="shared" si="3"/>
        <v>No</v>
      </c>
    </row>
    <row r="36" spans="1:39" ht="29" x14ac:dyDescent="0.35">
      <c r="A36" s="1">
        <v>46200.552187499998</v>
      </c>
      <c r="B36" s="1">
        <v>46200.554305555554</v>
      </c>
      <c r="C36">
        <v>0</v>
      </c>
      <c r="D36" s="2" t="s">
        <v>161</v>
      </c>
      <c r="E36">
        <v>100</v>
      </c>
      <c r="F36">
        <v>183</v>
      </c>
      <c r="G36">
        <v>1</v>
      </c>
      <c r="H36" s="1">
        <v>46200.554321979165</v>
      </c>
      <c r="I36" s="2" t="s">
        <v>165</v>
      </c>
      <c r="J36">
        <v>26.414100000000001</v>
      </c>
      <c r="K36">
        <v>-80.097200000000001</v>
      </c>
      <c r="L36" s="2" t="s">
        <v>83</v>
      </c>
      <c r="M36" s="2" t="s">
        <v>78</v>
      </c>
      <c r="N36">
        <v>1</v>
      </c>
      <c r="O36">
        <v>1</v>
      </c>
      <c r="P36">
        <v>30</v>
      </c>
      <c r="Q36">
        <v>30</v>
      </c>
      <c r="R36">
        <v>2</v>
      </c>
      <c r="S36">
        <v>43</v>
      </c>
      <c r="T36">
        <v>30</v>
      </c>
      <c r="U36">
        <v>30</v>
      </c>
      <c r="V36">
        <v>2</v>
      </c>
      <c r="W36">
        <v>43</v>
      </c>
      <c r="X36">
        <v>43</v>
      </c>
      <c r="Y36">
        <v>3</v>
      </c>
      <c r="Z36">
        <v>3</v>
      </c>
      <c r="AA36">
        <v>3</v>
      </c>
      <c r="AB36">
        <v>3</v>
      </c>
      <c r="AC36">
        <v>3</v>
      </c>
      <c r="AD36">
        <v>1</v>
      </c>
      <c r="AE36">
        <v>6</v>
      </c>
      <c r="AF36">
        <v>1</v>
      </c>
      <c r="AG36">
        <v>3</v>
      </c>
      <c r="AH36">
        <v>2</v>
      </c>
      <c r="AI36" s="2" t="s">
        <v>166</v>
      </c>
      <c r="AJ36">
        <f t="shared" si="0"/>
        <v>3</v>
      </c>
      <c r="AK36" t="str">
        <f t="shared" si="1"/>
        <v>Detractor</v>
      </c>
      <c r="AL36" t="str">
        <f t="shared" si="2"/>
        <v>Low/moderate risk</v>
      </c>
      <c r="AM36" t="str">
        <f t="shared" si="3"/>
        <v>No</v>
      </c>
    </row>
    <row r="37" spans="1:39" ht="29" x14ac:dyDescent="0.35">
      <c r="A37" s="1">
        <v>46200.602361111109</v>
      </c>
      <c r="B37" s="1">
        <v>46200.603807870371</v>
      </c>
      <c r="C37">
        <v>0</v>
      </c>
      <c r="D37" s="2" t="s">
        <v>167</v>
      </c>
      <c r="E37">
        <v>100</v>
      </c>
      <c r="F37">
        <v>125</v>
      </c>
      <c r="G37">
        <v>1</v>
      </c>
      <c r="H37" s="1">
        <v>46200.603819027776</v>
      </c>
      <c r="I37" s="2" t="s">
        <v>168</v>
      </c>
      <c r="J37">
        <v>32.916400000000003</v>
      </c>
      <c r="K37">
        <v>-117.13930000000001</v>
      </c>
      <c r="L37" s="2" t="s">
        <v>83</v>
      </c>
      <c r="M37" s="2" t="s">
        <v>78</v>
      </c>
      <c r="N37">
        <v>2</v>
      </c>
      <c r="O37">
        <v>1</v>
      </c>
      <c r="P37">
        <v>43</v>
      </c>
      <c r="Q37">
        <v>43</v>
      </c>
      <c r="R37">
        <v>30</v>
      </c>
      <c r="S37">
        <v>43</v>
      </c>
      <c r="T37">
        <v>2</v>
      </c>
      <c r="U37">
        <v>43</v>
      </c>
      <c r="V37">
        <v>43</v>
      </c>
      <c r="W37">
        <v>43</v>
      </c>
      <c r="X37">
        <v>43</v>
      </c>
      <c r="Y37">
        <v>5</v>
      </c>
      <c r="Z37">
        <v>5</v>
      </c>
      <c r="AA37">
        <v>5</v>
      </c>
      <c r="AB37">
        <v>5</v>
      </c>
      <c r="AC37">
        <v>5</v>
      </c>
      <c r="AD37">
        <v>3</v>
      </c>
      <c r="AE37">
        <v>10</v>
      </c>
      <c r="AF37">
        <v>1</v>
      </c>
      <c r="AG37">
        <v>2</v>
      </c>
      <c r="AH37">
        <v>2</v>
      </c>
      <c r="AI37" s="2" t="s">
        <v>75</v>
      </c>
      <c r="AJ37">
        <f t="shared" si="0"/>
        <v>5</v>
      </c>
      <c r="AK37" t="str">
        <f t="shared" si="1"/>
        <v>Promoter</v>
      </c>
      <c r="AL37" t="str">
        <f t="shared" si="2"/>
        <v>Low/moderate risk</v>
      </c>
      <c r="AM37" t="str">
        <f t="shared" si="3"/>
        <v>No</v>
      </c>
    </row>
    <row r="38" spans="1:39" ht="29" x14ac:dyDescent="0.35">
      <c r="A38" s="1">
        <v>46200.569131944445</v>
      </c>
      <c r="B38" s="1">
        <v>46200.663854166669</v>
      </c>
      <c r="C38">
        <v>0</v>
      </c>
      <c r="D38" s="2" t="s">
        <v>169</v>
      </c>
      <c r="E38">
        <v>100</v>
      </c>
      <c r="F38">
        <v>8183</v>
      </c>
      <c r="G38">
        <v>1</v>
      </c>
      <c r="H38" s="1">
        <v>46200.663866539355</v>
      </c>
      <c r="I38" s="2" t="s">
        <v>170</v>
      </c>
      <c r="J38">
        <v>40.014600000000002</v>
      </c>
      <c r="K38">
        <v>-75.7136</v>
      </c>
      <c r="L38" s="2" t="s">
        <v>83</v>
      </c>
      <c r="M38" s="2" t="s">
        <v>78</v>
      </c>
      <c r="N38">
        <v>1</v>
      </c>
      <c r="O38">
        <v>43</v>
      </c>
      <c r="P38">
        <v>30</v>
      </c>
      <c r="Q38">
        <v>43</v>
      </c>
      <c r="R38">
        <v>43</v>
      </c>
      <c r="S38">
        <v>2</v>
      </c>
      <c r="T38">
        <v>43</v>
      </c>
      <c r="U38">
        <v>43</v>
      </c>
      <c r="V38">
        <v>43</v>
      </c>
      <c r="W38">
        <v>1</v>
      </c>
      <c r="X38">
        <v>43</v>
      </c>
      <c r="Y38">
        <v>3</v>
      </c>
      <c r="Z38">
        <v>3</v>
      </c>
      <c r="AA38">
        <v>4</v>
      </c>
      <c r="AB38">
        <v>3</v>
      </c>
      <c r="AC38">
        <v>3</v>
      </c>
      <c r="AD38">
        <v>1</v>
      </c>
      <c r="AE38">
        <v>6</v>
      </c>
      <c r="AF38">
        <v>1</v>
      </c>
      <c r="AG38">
        <v>2</v>
      </c>
      <c r="AH38">
        <v>2</v>
      </c>
      <c r="AI38" s="2" t="s">
        <v>171</v>
      </c>
      <c r="AJ38">
        <f t="shared" si="0"/>
        <v>3.2</v>
      </c>
      <c r="AK38" t="str">
        <f t="shared" si="1"/>
        <v>Detractor</v>
      </c>
      <c r="AL38" t="str">
        <f t="shared" si="2"/>
        <v>Low/moderate risk</v>
      </c>
      <c r="AM38" t="str">
        <f t="shared" si="3"/>
        <v>No</v>
      </c>
    </row>
    <row r="39" spans="1:39" ht="29" x14ac:dyDescent="0.35">
      <c r="A39" s="1">
        <v>46200.706793981481</v>
      </c>
      <c r="B39" s="1">
        <v>46200.708483796298</v>
      </c>
      <c r="C39">
        <v>0</v>
      </c>
      <c r="D39" s="2" t="s">
        <v>172</v>
      </c>
      <c r="E39">
        <v>100</v>
      </c>
      <c r="F39">
        <v>146</v>
      </c>
      <c r="G39">
        <v>1</v>
      </c>
      <c r="H39" s="1">
        <v>46200.708492881946</v>
      </c>
      <c r="I39" s="2" t="s">
        <v>173</v>
      </c>
      <c r="J39">
        <v>40.334400000000002</v>
      </c>
      <c r="K39">
        <v>-74.795000000000002</v>
      </c>
      <c r="L39" s="2" t="s">
        <v>83</v>
      </c>
      <c r="M39" s="2" t="s">
        <v>78</v>
      </c>
      <c r="N39">
        <v>1</v>
      </c>
      <c r="O39">
        <v>43</v>
      </c>
      <c r="P39">
        <v>1</v>
      </c>
      <c r="Q39">
        <v>43</v>
      </c>
      <c r="R39">
        <v>2</v>
      </c>
      <c r="S39">
        <v>30</v>
      </c>
      <c r="T39">
        <v>43</v>
      </c>
      <c r="U39">
        <v>43</v>
      </c>
      <c r="V39">
        <v>43</v>
      </c>
      <c r="W39">
        <v>43</v>
      </c>
      <c r="X39">
        <v>43</v>
      </c>
      <c r="Y39">
        <v>5</v>
      </c>
      <c r="Z39">
        <v>1</v>
      </c>
      <c r="AA39">
        <v>5</v>
      </c>
      <c r="AB39">
        <v>5</v>
      </c>
      <c r="AC39">
        <v>5</v>
      </c>
      <c r="AD39">
        <v>3</v>
      </c>
      <c r="AE39">
        <v>10</v>
      </c>
      <c r="AF39">
        <v>1</v>
      </c>
      <c r="AG39">
        <v>1</v>
      </c>
      <c r="AH39">
        <v>2</v>
      </c>
      <c r="AI39" s="2" t="s">
        <v>75</v>
      </c>
      <c r="AJ39">
        <f t="shared" si="0"/>
        <v>4.2</v>
      </c>
      <c r="AK39" t="str">
        <f t="shared" si="1"/>
        <v>Promoter</v>
      </c>
      <c r="AL39" t="str">
        <f t="shared" si="2"/>
        <v>Low/moderate risk</v>
      </c>
      <c r="AM39" t="str">
        <f t="shared" si="3"/>
        <v>Yes</v>
      </c>
    </row>
  </sheetData>
  <autoFilter ref="A2:AI40" xr:uid="{00000000-0009-0000-0000-000000000000}">
    <sortState xmlns:xlrd2="http://schemas.microsoft.com/office/spreadsheetml/2017/richdata2" ref="A3:AI39">
      <sortCondition ref="L2:L4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FF9D-F30D-46C9-BCD5-063A5A7801F2}">
  <dimension ref="A1:AI39"/>
  <sheetViews>
    <sheetView workbookViewId="0">
      <pane ySplit="1" topLeftCell="A26" activePane="bottomLeft" state="frozen"/>
      <selection pane="bottomLeft" activeCell="B47" sqref="B47"/>
    </sheetView>
  </sheetViews>
  <sheetFormatPr defaultRowHeight="14.5" x14ac:dyDescent="0.35"/>
  <cols>
    <col min="1" max="2" width="14.08984375" bestFit="1" customWidth="1"/>
    <col min="3" max="3" width="15.1796875" bestFit="1" customWidth="1"/>
    <col min="4" max="4" width="11.54296875" bestFit="1" customWidth="1"/>
    <col min="5" max="5" width="10.1796875" bestFit="1" customWidth="1"/>
    <col min="6" max="6" width="20.54296875" bestFit="1" customWidth="1"/>
    <col min="7" max="7" width="9.90625" bestFit="1" customWidth="1"/>
    <col min="8" max="8" width="15.1796875" bestFit="1" customWidth="1"/>
    <col min="9" max="9" width="13.08984375" bestFit="1" customWidth="1"/>
    <col min="10" max="10" width="17.1796875" bestFit="1" customWidth="1"/>
    <col min="11" max="11" width="18.453125" bestFit="1" customWidth="1"/>
    <col min="12" max="12" width="19.81640625" bestFit="1" customWidth="1"/>
    <col min="13" max="13" width="15" bestFit="1" customWidth="1"/>
    <col min="14" max="14" width="78.36328125" bestFit="1" customWidth="1"/>
    <col min="15" max="24" width="255.6328125" bestFit="1" customWidth="1"/>
    <col min="25" max="25" width="136.26953125" bestFit="1" customWidth="1"/>
    <col min="26" max="26" width="145.26953125" bestFit="1" customWidth="1"/>
    <col min="27" max="27" width="142.81640625" bestFit="1" customWidth="1"/>
    <col min="28" max="28" width="147.81640625" bestFit="1" customWidth="1"/>
    <col min="29" max="29" width="123.81640625" bestFit="1" customWidth="1"/>
    <col min="30" max="30" width="89.90625" bestFit="1" customWidth="1"/>
    <col min="31" max="31" width="83.453125" bestFit="1" customWidth="1"/>
    <col min="32" max="32" width="73.26953125" bestFit="1" customWidth="1"/>
    <col min="33" max="33" width="68" bestFit="1" customWidth="1"/>
    <col min="34" max="34" width="51.81640625" bestFit="1" customWidth="1"/>
    <col min="35" max="35" width="105.54296875" bestFit="1" customWidth="1"/>
  </cols>
  <sheetData>
    <row r="1" spans="1:35" x14ac:dyDescent="0.35">
      <c r="A1" s="3" t="s">
        <v>0</v>
      </c>
      <c r="B1" s="3" t="s">
        <v>1</v>
      </c>
      <c r="C1" s="3" t="s">
        <v>2</v>
      </c>
      <c r="D1" s="3" t="s">
        <v>3</v>
      </c>
      <c r="E1" s="3" t="s">
        <v>4</v>
      </c>
      <c r="F1" s="3" t="s">
        <v>5</v>
      </c>
      <c r="G1" s="3" t="s">
        <v>6</v>
      </c>
      <c r="H1" s="3" t="s">
        <v>7</v>
      </c>
      <c r="I1" s="3" t="s">
        <v>8</v>
      </c>
      <c r="J1" s="3" t="s">
        <v>13</v>
      </c>
      <c r="K1" s="3" t="s">
        <v>14</v>
      </c>
      <c r="L1" s="3" t="s">
        <v>15</v>
      </c>
      <c r="M1" s="3" t="s">
        <v>16</v>
      </c>
      <c r="N1" s="3" t="s">
        <v>17</v>
      </c>
      <c r="O1" s="3" t="s">
        <v>18</v>
      </c>
      <c r="P1" s="3" t="s">
        <v>19</v>
      </c>
      <c r="Q1" s="3" t="s">
        <v>20</v>
      </c>
      <c r="R1" s="3" t="s">
        <v>21</v>
      </c>
      <c r="S1" s="3" t="s">
        <v>22</v>
      </c>
      <c r="T1" s="3" t="s">
        <v>23</v>
      </c>
      <c r="U1" s="3" t="s">
        <v>24</v>
      </c>
      <c r="V1" s="3" t="s">
        <v>25</v>
      </c>
      <c r="W1" s="3" t="s">
        <v>26</v>
      </c>
      <c r="X1" s="3" t="s">
        <v>27</v>
      </c>
      <c r="Y1" s="3" t="s">
        <v>28</v>
      </c>
      <c r="Z1" s="3" t="s">
        <v>29</v>
      </c>
      <c r="AA1" s="3" t="s">
        <v>30</v>
      </c>
      <c r="AB1" s="3" t="s">
        <v>31</v>
      </c>
      <c r="AC1" s="3" t="s">
        <v>32</v>
      </c>
      <c r="AD1" s="3" t="s">
        <v>33</v>
      </c>
      <c r="AE1" s="3" t="s">
        <v>34</v>
      </c>
      <c r="AF1" s="3" t="s">
        <v>35</v>
      </c>
      <c r="AG1" s="3" t="s">
        <v>36</v>
      </c>
      <c r="AH1" s="3" t="s">
        <v>37</v>
      </c>
      <c r="AI1" s="3" t="s">
        <v>38</v>
      </c>
    </row>
    <row r="2" spans="1:35" x14ac:dyDescent="0.35">
      <c r="A2" s="3" t="s">
        <v>39</v>
      </c>
      <c r="B2" s="3" t="s">
        <v>40</v>
      </c>
      <c r="C2" s="3" t="s">
        <v>41</v>
      </c>
      <c r="D2" s="3" t="s">
        <v>42</v>
      </c>
      <c r="E2" s="3" t="s">
        <v>4</v>
      </c>
      <c r="F2" s="3" t="s">
        <v>5</v>
      </c>
      <c r="G2" s="3" t="s">
        <v>6</v>
      </c>
      <c r="H2" s="3" t="s">
        <v>43</v>
      </c>
      <c r="I2" s="3" t="s">
        <v>44</v>
      </c>
      <c r="J2" s="3" t="s">
        <v>49</v>
      </c>
      <c r="K2" s="3" t="s">
        <v>50</v>
      </c>
      <c r="L2" s="3" t="s">
        <v>51</v>
      </c>
      <c r="M2" s="3" t="s">
        <v>52</v>
      </c>
      <c r="N2" s="3" t="s">
        <v>53</v>
      </c>
      <c r="O2" s="3" t="s">
        <v>54</v>
      </c>
      <c r="P2" s="3" t="s">
        <v>55</v>
      </c>
      <c r="Q2" s="3" t="s">
        <v>56</v>
      </c>
      <c r="R2" s="3" t="s">
        <v>57</v>
      </c>
      <c r="S2" s="3" t="s">
        <v>58</v>
      </c>
      <c r="T2" s="3" t="s">
        <v>59</v>
      </c>
      <c r="U2" s="3" t="s">
        <v>60</v>
      </c>
      <c r="V2" s="3" t="s">
        <v>61</v>
      </c>
      <c r="W2" s="3" t="s">
        <v>62</v>
      </c>
      <c r="X2" s="3" t="s">
        <v>63</v>
      </c>
      <c r="Y2" s="3" t="s">
        <v>64</v>
      </c>
      <c r="Z2" s="3" t="s">
        <v>65</v>
      </c>
      <c r="AA2" s="3" t="s">
        <v>66</v>
      </c>
      <c r="AB2" s="3" t="s">
        <v>67</v>
      </c>
      <c r="AC2" s="3" t="s">
        <v>68</v>
      </c>
      <c r="AD2" s="3" t="s">
        <v>69</v>
      </c>
      <c r="AE2" s="3" t="s">
        <v>70</v>
      </c>
      <c r="AF2" s="3" t="s">
        <v>71</v>
      </c>
      <c r="AG2" s="3" t="s">
        <v>72</v>
      </c>
      <c r="AH2" s="3" t="s">
        <v>73</v>
      </c>
      <c r="AI2" s="3" t="s">
        <v>74</v>
      </c>
    </row>
    <row r="3" spans="1:35" ht="29" x14ac:dyDescent="0.35">
      <c r="A3" s="1">
        <v>46197.700752314813</v>
      </c>
      <c r="B3" s="1">
        <v>46198.594895833332</v>
      </c>
      <c r="C3">
        <v>0</v>
      </c>
      <c r="D3" s="2" t="s">
        <v>81</v>
      </c>
      <c r="E3">
        <v>100</v>
      </c>
      <c r="F3">
        <v>77254</v>
      </c>
      <c r="G3">
        <v>1</v>
      </c>
      <c r="H3" s="1">
        <v>46198.59490733796</v>
      </c>
      <c r="I3" s="2" t="s">
        <v>82</v>
      </c>
      <c r="J3">
        <v>34.195</v>
      </c>
      <c r="K3">
        <v>-118.44499999999999</v>
      </c>
      <c r="L3" s="2" t="s">
        <v>83</v>
      </c>
      <c r="M3" s="2" t="s">
        <v>78</v>
      </c>
      <c r="N3">
        <v>1</v>
      </c>
      <c r="O3">
        <v>1</v>
      </c>
      <c r="P3" s="2" t="s">
        <v>75</v>
      </c>
      <c r="Q3" s="2" t="s">
        <v>75</v>
      </c>
      <c r="R3" s="2" t="s">
        <v>75</v>
      </c>
      <c r="S3" s="2" t="s">
        <v>75</v>
      </c>
      <c r="T3" s="2" t="s">
        <v>75</v>
      </c>
      <c r="U3" s="2" t="s">
        <v>75</v>
      </c>
      <c r="V3" s="2" t="s">
        <v>75</v>
      </c>
      <c r="W3" s="2" t="s">
        <v>75</v>
      </c>
      <c r="X3" s="2" t="s">
        <v>75</v>
      </c>
      <c r="Y3">
        <v>5</v>
      </c>
      <c r="Z3">
        <v>4</v>
      </c>
      <c r="AA3">
        <v>4</v>
      </c>
      <c r="AB3">
        <v>4</v>
      </c>
      <c r="AC3">
        <v>4</v>
      </c>
      <c r="AD3">
        <v>2</v>
      </c>
      <c r="AE3">
        <v>7</v>
      </c>
      <c r="AF3">
        <v>2</v>
      </c>
      <c r="AG3">
        <v>4</v>
      </c>
      <c r="AH3">
        <v>1</v>
      </c>
      <c r="AI3" s="2" t="s">
        <v>75</v>
      </c>
    </row>
    <row r="4" spans="1:35" ht="29" x14ac:dyDescent="0.35">
      <c r="A4" s="1">
        <v>46199.713726851849</v>
      </c>
      <c r="B4" s="1">
        <v>46199.715115740742</v>
      </c>
      <c r="C4">
        <v>0</v>
      </c>
      <c r="D4" s="2" t="s">
        <v>84</v>
      </c>
      <c r="E4">
        <v>100</v>
      </c>
      <c r="F4">
        <v>119</v>
      </c>
      <c r="G4">
        <v>1</v>
      </c>
      <c r="H4" s="1">
        <v>46199.715128784723</v>
      </c>
      <c r="I4" s="2" t="s">
        <v>85</v>
      </c>
      <c r="J4">
        <v>33.979399999999998</v>
      </c>
      <c r="K4">
        <v>-118.0609</v>
      </c>
      <c r="L4" s="2" t="s">
        <v>83</v>
      </c>
      <c r="M4" s="2" t="s">
        <v>78</v>
      </c>
      <c r="N4">
        <v>1</v>
      </c>
      <c r="O4">
        <v>43</v>
      </c>
      <c r="P4">
        <v>43</v>
      </c>
      <c r="Q4">
        <v>43</v>
      </c>
      <c r="R4">
        <v>30</v>
      </c>
      <c r="S4">
        <v>1</v>
      </c>
      <c r="T4">
        <v>43</v>
      </c>
      <c r="U4">
        <v>43</v>
      </c>
      <c r="V4">
        <v>2</v>
      </c>
      <c r="W4">
        <v>43</v>
      </c>
      <c r="X4">
        <v>43</v>
      </c>
      <c r="Y4">
        <v>4</v>
      </c>
      <c r="Z4">
        <v>3</v>
      </c>
      <c r="AA4">
        <v>5</v>
      </c>
      <c r="AB4">
        <v>4</v>
      </c>
      <c r="AC4">
        <v>4</v>
      </c>
      <c r="AD4">
        <v>1</v>
      </c>
      <c r="AE4">
        <v>5</v>
      </c>
      <c r="AF4">
        <v>2</v>
      </c>
      <c r="AG4">
        <v>2</v>
      </c>
      <c r="AH4">
        <v>1</v>
      </c>
      <c r="AI4" s="2" t="s">
        <v>86</v>
      </c>
    </row>
    <row r="5" spans="1:35" ht="29" x14ac:dyDescent="0.35">
      <c r="A5" s="1">
        <v>46199.717175925929</v>
      </c>
      <c r="B5" s="1">
        <v>46199.718090277776</v>
      </c>
      <c r="C5">
        <v>0</v>
      </c>
      <c r="D5" s="2" t="s">
        <v>87</v>
      </c>
      <c r="E5">
        <v>100</v>
      </c>
      <c r="F5">
        <v>79</v>
      </c>
      <c r="G5">
        <v>1</v>
      </c>
      <c r="H5" s="1">
        <v>46199.718098784724</v>
      </c>
      <c r="I5" s="2" t="s">
        <v>88</v>
      </c>
      <c r="J5">
        <v>33.9893</v>
      </c>
      <c r="K5">
        <v>-118.089</v>
      </c>
      <c r="L5" s="2" t="s">
        <v>83</v>
      </c>
      <c r="M5" s="2" t="s">
        <v>78</v>
      </c>
      <c r="N5">
        <v>3</v>
      </c>
      <c r="O5">
        <v>1</v>
      </c>
      <c r="P5">
        <v>2</v>
      </c>
      <c r="Q5">
        <v>43</v>
      </c>
      <c r="R5">
        <v>30</v>
      </c>
      <c r="S5">
        <v>43</v>
      </c>
      <c r="T5">
        <v>30</v>
      </c>
      <c r="U5">
        <v>43</v>
      </c>
      <c r="V5">
        <v>43</v>
      </c>
      <c r="W5">
        <v>43</v>
      </c>
      <c r="X5">
        <v>43</v>
      </c>
      <c r="Y5">
        <v>5</v>
      </c>
      <c r="Z5">
        <v>5</v>
      </c>
      <c r="AA5">
        <v>5</v>
      </c>
      <c r="AB5">
        <v>5</v>
      </c>
      <c r="AC5">
        <v>5</v>
      </c>
      <c r="AD5">
        <v>2</v>
      </c>
      <c r="AE5">
        <v>7</v>
      </c>
      <c r="AF5">
        <v>2</v>
      </c>
      <c r="AG5">
        <v>5</v>
      </c>
      <c r="AH5">
        <v>2</v>
      </c>
      <c r="AI5" s="2" t="s">
        <v>75</v>
      </c>
    </row>
    <row r="6" spans="1:35" ht="29" x14ac:dyDescent="0.35">
      <c r="A6" s="1">
        <v>46199.717106481483</v>
      </c>
      <c r="B6" s="1">
        <v>46199.723564814813</v>
      </c>
      <c r="C6">
        <v>0</v>
      </c>
      <c r="D6" s="2" t="s">
        <v>89</v>
      </c>
      <c r="E6">
        <v>100</v>
      </c>
      <c r="F6">
        <v>557</v>
      </c>
      <c r="G6">
        <v>1</v>
      </c>
      <c r="H6" s="1">
        <v>46199.723575289354</v>
      </c>
      <c r="I6" s="2" t="s">
        <v>90</v>
      </c>
      <c r="J6">
        <v>33.988900000000001</v>
      </c>
      <c r="K6">
        <v>-118.15300000000001</v>
      </c>
      <c r="L6" s="2" t="s">
        <v>83</v>
      </c>
      <c r="M6" s="2" t="s">
        <v>78</v>
      </c>
      <c r="N6">
        <v>1</v>
      </c>
      <c r="O6">
        <v>43</v>
      </c>
      <c r="P6">
        <v>43</v>
      </c>
      <c r="Q6">
        <v>43</v>
      </c>
      <c r="R6">
        <v>43</v>
      </c>
      <c r="S6">
        <v>43</v>
      </c>
      <c r="T6">
        <v>43</v>
      </c>
      <c r="U6">
        <v>43</v>
      </c>
      <c r="V6">
        <v>43</v>
      </c>
      <c r="W6">
        <v>43</v>
      </c>
      <c r="X6">
        <v>1</v>
      </c>
      <c r="Y6">
        <v>5</v>
      </c>
      <c r="Z6">
        <v>4</v>
      </c>
      <c r="AA6">
        <v>3</v>
      </c>
      <c r="AB6">
        <v>2</v>
      </c>
      <c r="AC6">
        <v>3</v>
      </c>
      <c r="AD6">
        <v>1</v>
      </c>
      <c r="AE6">
        <v>5</v>
      </c>
      <c r="AF6">
        <v>2</v>
      </c>
      <c r="AG6">
        <v>2</v>
      </c>
      <c r="AH6">
        <v>2</v>
      </c>
      <c r="AI6" s="2" t="s">
        <v>91</v>
      </c>
    </row>
    <row r="7" spans="1:35" ht="29" x14ac:dyDescent="0.35">
      <c r="A7" s="1">
        <v>46200.052951388891</v>
      </c>
      <c r="B7" s="1">
        <v>46200.056157407409</v>
      </c>
      <c r="C7">
        <v>0</v>
      </c>
      <c r="D7" s="2" t="s">
        <v>92</v>
      </c>
      <c r="E7">
        <v>100</v>
      </c>
      <c r="F7">
        <v>277</v>
      </c>
      <c r="G7">
        <v>1</v>
      </c>
      <c r="H7" s="1">
        <v>46200.056169004631</v>
      </c>
      <c r="I7" s="2" t="s">
        <v>93</v>
      </c>
      <c r="J7">
        <v>34.122700000000002</v>
      </c>
      <c r="K7">
        <v>-118.7573</v>
      </c>
      <c r="L7" s="2" t="s">
        <v>83</v>
      </c>
      <c r="M7" s="2" t="s">
        <v>78</v>
      </c>
      <c r="N7">
        <v>1</v>
      </c>
      <c r="O7">
        <v>2</v>
      </c>
      <c r="P7">
        <v>43</v>
      </c>
      <c r="Q7">
        <v>30</v>
      </c>
      <c r="R7">
        <v>43</v>
      </c>
      <c r="S7">
        <v>43</v>
      </c>
      <c r="T7">
        <v>43</v>
      </c>
      <c r="U7">
        <v>43</v>
      </c>
      <c r="V7">
        <v>43</v>
      </c>
      <c r="W7">
        <v>1</v>
      </c>
      <c r="X7">
        <v>43</v>
      </c>
      <c r="Y7">
        <v>5</v>
      </c>
      <c r="Z7">
        <v>4</v>
      </c>
      <c r="AA7">
        <v>4</v>
      </c>
      <c r="AB7">
        <v>5</v>
      </c>
      <c r="AC7">
        <v>3</v>
      </c>
      <c r="AD7">
        <v>2</v>
      </c>
      <c r="AE7">
        <v>7</v>
      </c>
      <c r="AF7">
        <v>1</v>
      </c>
      <c r="AG7">
        <v>1</v>
      </c>
      <c r="AH7">
        <v>2</v>
      </c>
      <c r="AI7" s="2" t="s">
        <v>94</v>
      </c>
    </row>
    <row r="8" spans="1:35" ht="29" x14ac:dyDescent="0.35">
      <c r="A8" s="1">
        <v>46200.244074074071</v>
      </c>
      <c r="B8" s="1">
        <v>46200.246145833335</v>
      </c>
      <c r="C8">
        <v>0</v>
      </c>
      <c r="D8" s="2" t="s">
        <v>95</v>
      </c>
      <c r="E8">
        <v>100</v>
      </c>
      <c r="F8">
        <v>179</v>
      </c>
      <c r="G8">
        <v>1</v>
      </c>
      <c r="H8" s="1">
        <v>46200.246162939817</v>
      </c>
      <c r="I8" s="2" t="s">
        <v>96</v>
      </c>
      <c r="J8">
        <v>39.884</v>
      </c>
      <c r="K8">
        <v>-74.972099999999998</v>
      </c>
      <c r="L8" s="2" t="s">
        <v>83</v>
      </c>
      <c r="M8" s="2" t="s">
        <v>78</v>
      </c>
      <c r="N8">
        <v>2</v>
      </c>
      <c r="O8">
        <v>1</v>
      </c>
      <c r="P8">
        <v>2</v>
      </c>
      <c r="Q8">
        <v>30</v>
      </c>
      <c r="R8">
        <v>43</v>
      </c>
      <c r="S8">
        <v>43</v>
      </c>
      <c r="T8">
        <v>43</v>
      </c>
      <c r="U8">
        <v>43</v>
      </c>
      <c r="V8">
        <v>43</v>
      </c>
      <c r="W8">
        <v>43</v>
      </c>
      <c r="X8">
        <v>43</v>
      </c>
      <c r="Y8">
        <v>4</v>
      </c>
      <c r="Z8">
        <v>4</v>
      </c>
      <c r="AA8">
        <v>4</v>
      </c>
      <c r="AB8">
        <v>4</v>
      </c>
      <c r="AC8">
        <v>3</v>
      </c>
      <c r="AD8">
        <v>2</v>
      </c>
      <c r="AE8">
        <v>7</v>
      </c>
      <c r="AF8">
        <v>2</v>
      </c>
      <c r="AG8">
        <v>4</v>
      </c>
      <c r="AH8">
        <v>1</v>
      </c>
      <c r="AI8" s="2" t="s">
        <v>97</v>
      </c>
    </row>
    <row r="9" spans="1:35" ht="29" x14ac:dyDescent="0.35">
      <c r="A9" s="1">
        <v>46200.25271990741</v>
      </c>
      <c r="B9" s="1">
        <v>46200.253900462965</v>
      </c>
      <c r="C9">
        <v>0</v>
      </c>
      <c r="D9" s="2" t="s">
        <v>98</v>
      </c>
      <c r="E9">
        <v>100</v>
      </c>
      <c r="F9">
        <v>101</v>
      </c>
      <c r="G9">
        <v>1</v>
      </c>
      <c r="H9" s="1">
        <v>46200.253907650462</v>
      </c>
      <c r="I9" s="2" t="s">
        <v>99</v>
      </c>
      <c r="J9">
        <v>40.207000000000001</v>
      </c>
      <c r="K9">
        <v>-75.074399999999997</v>
      </c>
      <c r="L9" s="2" t="s">
        <v>83</v>
      </c>
      <c r="M9" s="2" t="s">
        <v>78</v>
      </c>
      <c r="N9">
        <v>1</v>
      </c>
      <c r="O9">
        <v>30</v>
      </c>
      <c r="P9">
        <v>1</v>
      </c>
      <c r="Q9">
        <v>43</v>
      </c>
      <c r="R9">
        <v>43</v>
      </c>
      <c r="S9">
        <v>43</v>
      </c>
      <c r="T9">
        <v>2</v>
      </c>
      <c r="U9">
        <v>43</v>
      </c>
      <c r="V9">
        <v>43</v>
      </c>
      <c r="W9">
        <v>43</v>
      </c>
      <c r="X9">
        <v>43</v>
      </c>
      <c r="Y9">
        <v>5</v>
      </c>
      <c r="Z9">
        <v>5</v>
      </c>
      <c r="AA9">
        <v>5</v>
      </c>
      <c r="AB9">
        <v>5</v>
      </c>
      <c r="AC9">
        <v>5</v>
      </c>
      <c r="AD9">
        <v>3</v>
      </c>
      <c r="AE9">
        <v>10</v>
      </c>
      <c r="AF9">
        <v>1</v>
      </c>
      <c r="AG9">
        <v>2</v>
      </c>
      <c r="AH9">
        <v>2</v>
      </c>
      <c r="AI9" s="2" t="s">
        <v>100</v>
      </c>
    </row>
    <row r="10" spans="1:35" ht="29" x14ac:dyDescent="0.35">
      <c r="A10" s="1">
        <v>46200.256041666667</v>
      </c>
      <c r="B10" s="1">
        <v>46200.257002314815</v>
      </c>
      <c r="C10">
        <v>0</v>
      </c>
      <c r="D10" s="2" t="s">
        <v>101</v>
      </c>
      <c r="E10">
        <v>100</v>
      </c>
      <c r="F10">
        <v>82</v>
      </c>
      <c r="G10">
        <v>1</v>
      </c>
      <c r="H10" s="1">
        <v>46200.257012685186</v>
      </c>
      <c r="I10" s="2" t="s">
        <v>102</v>
      </c>
      <c r="J10">
        <v>39.663499999999999</v>
      </c>
      <c r="K10">
        <v>-84.243899999999996</v>
      </c>
      <c r="L10" s="2" t="s">
        <v>83</v>
      </c>
      <c r="M10" s="2" t="s">
        <v>78</v>
      </c>
      <c r="N10">
        <v>1</v>
      </c>
      <c r="O10">
        <v>1</v>
      </c>
      <c r="P10">
        <v>2</v>
      </c>
      <c r="Q10">
        <v>30</v>
      </c>
      <c r="R10">
        <v>43</v>
      </c>
      <c r="S10">
        <v>43</v>
      </c>
      <c r="T10">
        <v>43</v>
      </c>
      <c r="U10">
        <v>43</v>
      </c>
      <c r="V10">
        <v>43</v>
      </c>
      <c r="W10">
        <v>43</v>
      </c>
      <c r="X10">
        <v>43</v>
      </c>
      <c r="Y10">
        <v>1</v>
      </c>
      <c r="Z10">
        <v>1</v>
      </c>
      <c r="AA10">
        <v>3</v>
      </c>
      <c r="AB10">
        <v>4</v>
      </c>
      <c r="AC10">
        <v>3</v>
      </c>
      <c r="AD10">
        <v>1</v>
      </c>
      <c r="AE10">
        <v>3</v>
      </c>
      <c r="AF10">
        <v>1</v>
      </c>
      <c r="AG10">
        <v>5</v>
      </c>
      <c r="AH10">
        <v>1</v>
      </c>
      <c r="AI10" s="2" t="s">
        <v>103</v>
      </c>
    </row>
    <row r="11" spans="1:35" ht="29" x14ac:dyDescent="0.35">
      <c r="A11" s="1">
        <v>46200.258344907408</v>
      </c>
      <c r="B11" s="1">
        <v>46200.259282407409</v>
      </c>
      <c r="C11">
        <v>0</v>
      </c>
      <c r="D11" s="2" t="s">
        <v>104</v>
      </c>
      <c r="E11">
        <v>100</v>
      </c>
      <c r="F11">
        <v>80</v>
      </c>
      <c r="G11">
        <v>1</v>
      </c>
      <c r="H11" s="1">
        <v>46200.259296493059</v>
      </c>
      <c r="I11" s="2" t="s">
        <v>105</v>
      </c>
      <c r="J11">
        <v>40.310200000000002</v>
      </c>
      <c r="K11">
        <v>-76.038799999999995</v>
      </c>
      <c r="L11" s="2" t="s">
        <v>83</v>
      </c>
      <c r="M11" s="2" t="s">
        <v>78</v>
      </c>
      <c r="N11">
        <v>1</v>
      </c>
      <c r="O11">
        <v>1</v>
      </c>
      <c r="P11">
        <v>43</v>
      </c>
      <c r="Q11">
        <v>43</v>
      </c>
      <c r="R11">
        <v>43</v>
      </c>
      <c r="S11">
        <v>43</v>
      </c>
      <c r="T11">
        <v>30</v>
      </c>
      <c r="U11">
        <v>43</v>
      </c>
      <c r="V11">
        <v>43</v>
      </c>
      <c r="W11">
        <v>2</v>
      </c>
      <c r="X11">
        <v>43</v>
      </c>
      <c r="Y11">
        <v>4</v>
      </c>
      <c r="Z11">
        <v>4</v>
      </c>
      <c r="AA11">
        <v>4</v>
      </c>
      <c r="AB11">
        <v>4</v>
      </c>
      <c r="AC11">
        <v>4</v>
      </c>
      <c r="AD11">
        <v>3</v>
      </c>
      <c r="AE11">
        <v>10</v>
      </c>
      <c r="AF11">
        <v>2</v>
      </c>
      <c r="AG11">
        <v>1</v>
      </c>
      <c r="AH11">
        <v>2</v>
      </c>
      <c r="AI11" s="2" t="s">
        <v>75</v>
      </c>
    </row>
    <row r="12" spans="1:35" ht="29" x14ac:dyDescent="0.35">
      <c r="A12" s="1">
        <v>46200.260520833333</v>
      </c>
      <c r="B12" s="1">
        <v>46200.261944444443</v>
      </c>
      <c r="C12">
        <v>0</v>
      </c>
      <c r="D12" s="2" t="s">
        <v>106</v>
      </c>
      <c r="E12">
        <v>100</v>
      </c>
      <c r="F12">
        <v>122</v>
      </c>
      <c r="G12">
        <v>1</v>
      </c>
      <c r="H12" s="1">
        <v>46200.261950763888</v>
      </c>
      <c r="I12" s="2" t="s">
        <v>107</v>
      </c>
      <c r="J12">
        <v>37.754800000000003</v>
      </c>
      <c r="K12">
        <v>-84.298500000000004</v>
      </c>
      <c r="L12" s="2" t="s">
        <v>83</v>
      </c>
      <c r="M12" s="2" t="s">
        <v>78</v>
      </c>
      <c r="N12">
        <v>1</v>
      </c>
      <c r="O12">
        <v>1</v>
      </c>
      <c r="P12">
        <v>43</v>
      </c>
      <c r="Q12">
        <v>43</v>
      </c>
      <c r="R12">
        <v>2</v>
      </c>
      <c r="S12">
        <v>30</v>
      </c>
      <c r="T12">
        <v>43</v>
      </c>
      <c r="U12">
        <v>43</v>
      </c>
      <c r="V12">
        <v>43</v>
      </c>
      <c r="W12">
        <v>43</v>
      </c>
      <c r="X12">
        <v>43</v>
      </c>
      <c r="Y12">
        <v>5</v>
      </c>
      <c r="Z12">
        <v>5</v>
      </c>
      <c r="AA12">
        <v>5</v>
      </c>
      <c r="AB12">
        <v>4</v>
      </c>
      <c r="AC12">
        <v>3</v>
      </c>
      <c r="AD12">
        <v>2</v>
      </c>
      <c r="AE12">
        <v>8</v>
      </c>
      <c r="AF12">
        <v>2</v>
      </c>
      <c r="AG12">
        <v>4</v>
      </c>
      <c r="AH12">
        <v>1</v>
      </c>
      <c r="AI12" s="2" t="s">
        <v>75</v>
      </c>
    </row>
    <row r="13" spans="1:35" ht="29" x14ac:dyDescent="0.35">
      <c r="A13" s="1">
        <v>46200.26295138889</v>
      </c>
      <c r="B13" s="1">
        <v>46200.264930555553</v>
      </c>
      <c r="C13">
        <v>0</v>
      </c>
      <c r="D13" s="2" t="s">
        <v>108</v>
      </c>
      <c r="E13">
        <v>100</v>
      </c>
      <c r="F13">
        <v>170</v>
      </c>
      <c r="G13">
        <v>1</v>
      </c>
      <c r="H13" s="1">
        <v>46200.264943333335</v>
      </c>
      <c r="I13" s="2" t="s">
        <v>109</v>
      </c>
      <c r="J13">
        <v>41.5749</v>
      </c>
      <c r="K13">
        <v>-90.608699999999999</v>
      </c>
      <c r="L13" s="2" t="s">
        <v>83</v>
      </c>
      <c r="M13" s="2" t="s">
        <v>78</v>
      </c>
      <c r="N13">
        <v>1</v>
      </c>
      <c r="O13">
        <v>1</v>
      </c>
      <c r="P13">
        <v>43</v>
      </c>
      <c r="Q13">
        <v>2</v>
      </c>
      <c r="R13">
        <v>43</v>
      </c>
      <c r="S13">
        <v>30</v>
      </c>
      <c r="T13">
        <v>43</v>
      </c>
      <c r="U13">
        <v>43</v>
      </c>
      <c r="V13">
        <v>43</v>
      </c>
      <c r="W13">
        <v>43</v>
      </c>
      <c r="X13">
        <v>43</v>
      </c>
      <c r="Y13">
        <v>5</v>
      </c>
      <c r="Z13">
        <v>5</v>
      </c>
      <c r="AA13">
        <v>5</v>
      </c>
      <c r="AB13">
        <v>4</v>
      </c>
      <c r="AC13">
        <v>4</v>
      </c>
      <c r="AD13">
        <v>2</v>
      </c>
      <c r="AE13">
        <v>8</v>
      </c>
      <c r="AF13">
        <v>1</v>
      </c>
      <c r="AG13">
        <v>2</v>
      </c>
      <c r="AH13">
        <v>2</v>
      </c>
      <c r="AI13" s="2" t="s">
        <v>75</v>
      </c>
    </row>
    <row r="14" spans="1:35" ht="43.5" x14ac:dyDescent="0.35">
      <c r="A14" s="1">
        <v>46200.263101851851</v>
      </c>
      <c r="B14" s="1">
        <v>46200.267175925925</v>
      </c>
      <c r="C14">
        <v>0</v>
      </c>
      <c r="D14" s="2" t="s">
        <v>110</v>
      </c>
      <c r="E14">
        <v>100</v>
      </c>
      <c r="F14">
        <v>351</v>
      </c>
      <c r="G14">
        <v>1</v>
      </c>
      <c r="H14" s="1">
        <v>46200.26718628472</v>
      </c>
      <c r="I14" s="2" t="s">
        <v>111</v>
      </c>
      <c r="J14">
        <v>39.626100000000001</v>
      </c>
      <c r="K14">
        <v>-119.6996</v>
      </c>
      <c r="L14" s="2" t="s">
        <v>83</v>
      </c>
      <c r="M14" s="2" t="s">
        <v>78</v>
      </c>
      <c r="N14">
        <v>1</v>
      </c>
      <c r="O14">
        <v>30</v>
      </c>
      <c r="P14">
        <v>43</v>
      </c>
      <c r="Q14">
        <v>43</v>
      </c>
      <c r="R14">
        <v>43</v>
      </c>
      <c r="S14">
        <v>1</v>
      </c>
      <c r="T14">
        <v>43</v>
      </c>
      <c r="U14">
        <v>2</v>
      </c>
      <c r="V14">
        <v>43</v>
      </c>
      <c r="W14">
        <v>43</v>
      </c>
      <c r="X14">
        <v>43</v>
      </c>
      <c r="Y14">
        <v>5</v>
      </c>
      <c r="Z14">
        <v>5</v>
      </c>
      <c r="AA14">
        <v>5</v>
      </c>
      <c r="AB14">
        <v>2</v>
      </c>
      <c r="AC14">
        <v>3</v>
      </c>
      <c r="AD14">
        <v>2</v>
      </c>
      <c r="AE14">
        <v>8</v>
      </c>
      <c r="AF14">
        <v>2</v>
      </c>
      <c r="AG14">
        <v>4</v>
      </c>
      <c r="AH14">
        <v>1</v>
      </c>
      <c r="AI14" s="2" t="s">
        <v>112</v>
      </c>
    </row>
    <row r="15" spans="1:35" ht="29" x14ac:dyDescent="0.35">
      <c r="A15" s="1">
        <v>46200.265706018516</v>
      </c>
      <c r="B15" s="1">
        <v>46200.267476851855</v>
      </c>
      <c r="C15">
        <v>0</v>
      </c>
      <c r="D15" s="2" t="s">
        <v>113</v>
      </c>
      <c r="E15">
        <v>100</v>
      </c>
      <c r="F15">
        <v>152</v>
      </c>
      <c r="G15">
        <v>1</v>
      </c>
      <c r="H15" s="1">
        <v>46200.267484432872</v>
      </c>
      <c r="I15" s="2" t="s">
        <v>114</v>
      </c>
      <c r="J15">
        <v>42.273899999999998</v>
      </c>
      <c r="K15">
        <v>-89.047399999999996</v>
      </c>
      <c r="L15" s="2" t="s">
        <v>83</v>
      </c>
      <c r="M15" s="2" t="s">
        <v>78</v>
      </c>
      <c r="N15">
        <v>2</v>
      </c>
      <c r="O15">
        <v>30</v>
      </c>
      <c r="P15">
        <v>1</v>
      </c>
      <c r="Q15">
        <v>2</v>
      </c>
      <c r="R15">
        <v>43</v>
      </c>
      <c r="S15">
        <v>30</v>
      </c>
      <c r="T15">
        <v>43</v>
      </c>
      <c r="U15">
        <v>43</v>
      </c>
      <c r="V15">
        <v>43</v>
      </c>
      <c r="W15">
        <v>43</v>
      </c>
      <c r="X15">
        <v>43</v>
      </c>
      <c r="Y15">
        <v>4</v>
      </c>
      <c r="Z15">
        <v>4</v>
      </c>
      <c r="AA15">
        <v>3</v>
      </c>
      <c r="AB15">
        <v>3</v>
      </c>
      <c r="AC15">
        <v>3</v>
      </c>
      <c r="AD15">
        <v>2</v>
      </c>
      <c r="AE15">
        <v>7</v>
      </c>
      <c r="AF15">
        <v>1</v>
      </c>
      <c r="AG15">
        <v>3</v>
      </c>
      <c r="AH15">
        <v>1</v>
      </c>
      <c r="AI15" s="2" t="s">
        <v>75</v>
      </c>
    </row>
    <row r="16" spans="1:35" ht="29" x14ac:dyDescent="0.35">
      <c r="A16" s="1">
        <v>46200.268252314818</v>
      </c>
      <c r="B16" s="1">
        <v>46200.269444444442</v>
      </c>
      <c r="C16">
        <v>0</v>
      </c>
      <c r="D16" s="2" t="s">
        <v>115</v>
      </c>
      <c r="E16">
        <v>100</v>
      </c>
      <c r="F16">
        <v>102</v>
      </c>
      <c r="G16">
        <v>1</v>
      </c>
      <c r="H16" s="1">
        <v>46200.269450891203</v>
      </c>
      <c r="I16" s="2" t="s">
        <v>116</v>
      </c>
      <c r="J16">
        <v>40.216299999999997</v>
      </c>
      <c r="K16">
        <v>-74.772400000000005</v>
      </c>
      <c r="L16" s="2" t="s">
        <v>83</v>
      </c>
      <c r="M16" s="2" t="s">
        <v>78</v>
      </c>
      <c r="N16">
        <v>1</v>
      </c>
      <c r="O16">
        <v>1</v>
      </c>
      <c r="P16">
        <v>43</v>
      </c>
      <c r="Q16">
        <v>2</v>
      </c>
      <c r="R16">
        <v>30</v>
      </c>
      <c r="S16">
        <v>43</v>
      </c>
      <c r="T16">
        <v>43</v>
      </c>
      <c r="U16">
        <v>43</v>
      </c>
      <c r="V16">
        <v>43</v>
      </c>
      <c r="W16">
        <v>43</v>
      </c>
      <c r="X16">
        <v>43</v>
      </c>
      <c r="Y16">
        <v>5</v>
      </c>
      <c r="Z16">
        <v>5</v>
      </c>
      <c r="AA16">
        <v>5</v>
      </c>
      <c r="AB16">
        <v>4</v>
      </c>
      <c r="AC16">
        <v>4</v>
      </c>
      <c r="AD16">
        <v>3</v>
      </c>
      <c r="AE16">
        <v>10</v>
      </c>
      <c r="AF16">
        <v>2</v>
      </c>
      <c r="AG16">
        <v>2</v>
      </c>
      <c r="AH16">
        <v>2</v>
      </c>
      <c r="AI16" s="2" t="s">
        <v>117</v>
      </c>
    </row>
    <row r="17" spans="1:35" ht="29" x14ac:dyDescent="0.35">
      <c r="A17" s="1">
        <v>46200.277118055557</v>
      </c>
      <c r="B17" s="1">
        <v>46200.279583333337</v>
      </c>
      <c r="C17">
        <v>0</v>
      </c>
      <c r="D17" s="2" t="s">
        <v>118</v>
      </c>
      <c r="E17">
        <v>100</v>
      </c>
      <c r="F17">
        <v>212</v>
      </c>
      <c r="G17">
        <v>1</v>
      </c>
      <c r="H17" s="1">
        <v>46200.279594907406</v>
      </c>
      <c r="I17" s="2" t="s">
        <v>119</v>
      </c>
      <c r="J17">
        <v>35.242600000000003</v>
      </c>
      <c r="K17">
        <v>-80.741</v>
      </c>
      <c r="L17" s="2" t="s">
        <v>83</v>
      </c>
      <c r="M17" s="2" t="s">
        <v>78</v>
      </c>
      <c r="N17">
        <v>1</v>
      </c>
      <c r="O17">
        <v>1</v>
      </c>
      <c r="P17">
        <v>43</v>
      </c>
      <c r="Q17">
        <v>43</v>
      </c>
      <c r="R17">
        <v>43</v>
      </c>
      <c r="S17">
        <v>30</v>
      </c>
      <c r="T17">
        <v>43</v>
      </c>
      <c r="U17">
        <v>43</v>
      </c>
      <c r="V17">
        <v>2</v>
      </c>
      <c r="W17">
        <v>43</v>
      </c>
      <c r="X17">
        <v>43</v>
      </c>
      <c r="Y17">
        <v>5</v>
      </c>
      <c r="Z17">
        <v>5</v>
      </c>
      <c r="AA17">
        <v>5</v>
      </c>
      <c r="AB17">
        <v>5</v>
      </c>
      <c r="AC17">
        <v>5</v>
      </c>
      <c r="AD17">
        <v>3</v>
      </c>
      <c r="AE17">
        <v>10</v>
      </c>
      <c r="AF17">
        <v>2</v>
      </c>
      <c r="AG17">
        <v>1</v>
      </c>
      <c r="AH17">
        <v>1</v>
      </c>
      <c r="AI17" s="2" t="s">
        <v>120</v>
      </c>
    </row>
    <row r="18" spans="1:35" ht="29" x14ac:dyDescent="0.35">
      <c r="A18" s="1">
        <v>46200.296585648146</v>
      </c>
      <c r="B18" s="1">
        <v>46200.297939814816</v>
      </c>
      <c r="C18">
        <v>0</v>
      </c>
      <c r="D18" s="2" t="s">
        <v>121</v>
      </c>
      <c r="E18">
        <v>100</v>
      </c>
      <c r="F18">
        <v>117</v>
      </c>
      <c r="G18">
        <v>1</v>
      </c>
      <c r="H18" s="1">
        <v>46200.297951099536</v>
      </c>
      <c r="I18" s="2" t="s">
        <v>122</v>
      </c>
      <c r="J18">
        <v>39.9587</v>
      </c>
      <c r="K18">
        <v>-82.998699999999999</v>
      </c>
      <c r="L18" s="2" t="s">
        <v>83</v>
      </c>
      <c r="M18" s="2" t="s">
        <v>78</v>
      </c>
      <c r="N18">
        <v>1</v>
      </c>
      <c r="O18">
        <v>1</v>
      </c>
      <c r="P18">
        <v>30</v>
      </c>
      <c r="Q18">
        <v>2</v>
      </c>
      <c r="R18">
        <v>43</v>
      </c>
      <c r="S18">
        <v>43</v>
      </c>
      <c r="T18">
        <v>43</v>
      </c>
      <c r="U18">
        <v>43</v>
      </c>
      <c r="V18">
        <v>43</v>
      </c>
      <c r="W18">
        <v>43</v>
      </c>
      <c r="X18">
        <v>43</v>
      </c>
      <c r="Y18">
        <v>4</v>
      </c>
      <c r="Z18">
        <v>4</v>
      </c>
      <c r="AA18">
        <v>4</v>
      </c>
      <c r="AB18">
        <v>3</v>
      </c>
      <c r="AC18">
        <v>4</v>
      </c>
      <c r="AD18">
        <v>2</v>
      </c>
      <c r="AE18">
        <v>7</v>
      </c>
      <c r="AF18">
        <v>1</v>
      </c>
      <c r="AG18">
        <v>2</v>
      </c>
      <c r="AH18">
        <v>1</v>
      </c>
      <c r="AI18" s="2" t="s">
        <v>75</v>
      </c>
    </row>
    <row r="19" spans="1:35" ht="29" x14ac:dyDescent="0.35">
      <c r="A19" s="1">
        <v>46200.302766203706</v>
      </c>
      <c r="B19" s="1">
        <v>46200.303900462961</v>
      </c>
      <c r="C19">
        <v>0</v>
      </c>
      <c r="D19" s="2" t="s">
        <v>123</v>
      </c>
      <c r="E19">
        <v>100</v>
      </c>
      <c r="F19">
        <v>98</v>
      </c>
      <c r="G19">
        <v>1</v>
      </c>
      <c r="H19" s="1">
        <v>46200.303913229167</v>
      </c>
      <c r="I19" s="2" t="s">
        <v>124</v>
      </c>
      <c r="J19">
        <v>41.850200000000001</v>
      </c>
      <c r="K19">
        <v>-87.673599999999993</v>
      </c>
      <c r="L19" s="2" t="s">
        <v>83</v>
      </c>
      <c r="M19" s="2" t="s">
        <v>78</v>
      </c>
      <c r="N19">
        <v>1</v>
      </c>
      <c r="O19">
        <v>2</v>
      </c>
      <c r="P19">
        <v>30</v>
      </c>
      <c r="Q19">
        <v>43</v>
      </c>
      <c r="R19">
        <v>43</v>
      </c>
      <c r="S19">
        <v>43</v>
      </c>
      <c r="T19">
        <v>43</v>
      </c>
      <c r="U19">
        <v>43</v>
      </c>
      <c r="V19">
        <v>43</v>
      </c>
      <c r="W19">
        <v>1</v>
      </c>
      <c r="X19">
        <v>43</v>
      </c>
      <c r="Y19">
        <v>5</v>
      </c>
      <c r="Z19">
        <v>4</v>
      </c>
      <c r="AA19">
        <v>4</v>
      </c>
      <c r="AB19">
        <v>2</v>
      </c>
      <c r="AC19">
        <v>4</v>
      </c>
      <c r="AD19">
        <v>3</v>
      </c>
      <c r="AE19">
        <v>9</v>
      </c>
      <c r="AF19">
        <v>1</v>
      </c>
      <c r="AG19">
        <v>4</v>
      </c>
      <c r="AH19">
        <v>1</v>
      </c>
      <c r="AI19" s="2" t="s">
        <v>125</v>
      </c>
    </row>
    <row r="20" spans="1:35" ht="29" x14ac:dyDescent="0.35">
      <c r="A20" s="1">
        <v>46200.316122685188</v>
      </c>
      <c r="B20" s="1">
        <v>46200.317673611113</v>
      </c>
      <c r="C20">
        <v>0</v>
      </c>
      <c r="D20" s="2" t="s">
        <v>126</v>
      </c>
      <c r="E20">
        <v>100</v>
      </c>
      <c r="F20">
        <v>133</v>
      </c>
      <c r="G20">
        <v>1</v>
      </c>
      <c r="H20" s="1">
        <v>46200.31768039352</v>
      </c>
      <c r="I20" s="2" t="s">
        <v>127</v>
      </c>
      <c r="J20">
        <v>42.995800000000003</v>
      </c>
      <c r="K20">
        <v>-89.549899999999994</v>
      </c>
      <c r="L20" s="2" t="s">
        <v>83</v>
      </c>
      <c r="M20" s="2" t="s">
        <v>78</v>
      </c>
      <c r="N20">
        <v>1</v>
      </c>
      <c r="O20">
        <v>43</v>
      </c>
      <c r="P20">
        <v>43</v>
      </c>
      <c r="Q20">
        <v>43</v>
      </c>
      <c r="R20">
        <v>1</v>
      </c>
      <c r="S20">
        <v>43</v>
      </c>
      <c r="T20">
        <v>30</v>
      </c>
      <c r="U20">
        <v>43</v>
      </c>
      <c r="V20">
        <v>2</v>
      </c>
      <c r="W20">
        <v>43</v>
      </c>
      <c r="X20">
        <v>43</v>
      </c>
      <c r="Y20">
        <v>5</v>
      </c>
      <c r="Z20">
        <v>4</v>
      </c>
      <c r="AA20">
        <v>3</v>
      </c>
      <c r="AB20">
        <v>4</v>
      </c>
      <c r="AC20">
        <v>2</v>
      </c>
      <c r="AD20">
        <v>1</v>
      </c>
      <c r="AE20">
        <v>6</v>
      </c>
      <c r="AF20">
        <v>2</v>
      </c>
      <c r="AG20">
        <v>5</v>
      </c>
      <c r="AH20">
        <v>1</v>
      </c>
      <c r="AI20" s="2" t="s">
        <v>128</v>
      </c>
    </row>
    <row r="21" spans="1:35" ht="29" x14ac:dyDescent="0.35">
      <c r="A21" s="1">
        <v>46200.321111111109</v>
      </c>
      <c r="B21" s="1">
        <v>46200.323935185188</v>
      </c>
      <c r="C21">
        <v>0</v>
      </c>
      <c r="D21" s="2" t="s">
        <v>129</v>
      </c>
      <c r="E21">
        <v>100</v>
      </c>
      <c r="F21">
        <v>243</v>
      </c>
      <c r="G21">
        <v>1</v>
      </c>
      <c r="H21" s="1">
        <v>46200.323942962961</v>
      </c>
      <c r="I21" s="2" t="s">
        <v>130</v>
      </c>
      <c r="J21">
        <v>33.93</v>
      </c>
      <c r="K21">
        <v>-117.9477</v>
      </c>
      <c r="L21" s="2" t="s">
        <v>83</v>
      </c>
      <c r="M21" s="2" t="s">
        <v>78</v>
      </c>
      <c r="N21">
        <v>1</v>
      </c>
      <c r="O21">
        <v>2</v>
      </c>
      <c r="P21" s="2" t="s">
        <v>75</v>
      </c>
      <c r="Q21" s="2" t="s">
        <v>75</v>
      </c>
      <c r="R21" s="2" t="s">
        <v>75</v>
      </c>
      <c r="S21">
        <v>1</v>
      </c>
      <c r="T21">
        <v>43</v>
      </c>
      <c r="U21">
        <v>30</v>
      </c>
      <c r="V21">
        <v>43</v>
      </c>
      <c r="W21" s="2" t="s">
        <v>75</v>
      </c>
      <c r="X21" s="2" t="s">
        <v>75</v>
      </c>
      <c r="Y21">
        <v>5</v>
      </c>
      <c r="Z21">
        <v>4</v>
      </c>
      <c r="AA21">
        <v>4</v>
      </c>
      <c r="AB21">
        <v>4</v>
      </c>
      <c r="AC21">
        <v>3</v>
      </c>
      <c r="AD21">
        <v>3</v>
      </c>
      <c r="AE21">
        <v>9</v>
      </c>
      <c r="AF21">
        <v>2</v>
      </c>
      <c r="AG21">
        <v>2</v>
      </c>
      <c r="AH21">
        <v>2</v>
      </c>
      <c r="AI21" s="2" t="s">
        <v>131</v>
      </c>
    </row>
    <row r="22" spans="1:35" ht="29" x14ac:dyDescent="0.35">
      <c r="A22" s="1">
        <v>46200.329479166663</v>
      </c>
      <c r="B22" s="1">
        <v>46200.331099537034</v>
      </c>
      <c r="C22">
        <v>0</v>
      </c>
      <c r="D22" s="2" t="s">
        <v>132</v>
      </c>
      <c r="E22">
        <v>100</v>
      </c>
      <c r="F22">
        <v>139</v>
      </c>
      <c r="G22">
        <v>1</v>
      </c>
      <c r="H22" s="1">
        <v>46200.33110614583</v>
      </c>
      <c r="I22" s="2" t="s">
        <v>133</v>
      </c>
      <c r="J22">
        <v>36.180500000000002</v>
      </c>
      <c r="K22">
        <v>-94.5304</v>
      </c>
      <c r="L22" s="2" t="s">
        <v>83</v>
      </c>
      <c r="M22" s="2" t="s">
        <v>78</v>
      </c>
      <c r="N22">
        <v>1</v>
      </c>
      <c r="O22">
        <v>30</v>
      </c>
      <c r="P22">
        <v>43</v>
      </c>
      <c r="Q22">
        <v>1</v>
      </c>
      <c r="R22">
        <v>43</v>
      </c>
      <c r="S22">
        <v>43</v>
      </c>
      <c r="T22">
        <v>2</v>
      </c>
      <c r="U22">
        <v>43</v>
      </c>
      <c r="V22">
        <v>43</v>
      </c>
      <c r="W22">
        <v>43</v>
      </c>
      <c r="X22">
        <v>43</v>
      </c>
      <c r="Y22">
        <v>5</v>
      </c>
      <c r="Z22">
        <v>5</v>
      </c>
      <c r="AA22">
        <v>5</v>
      </c>
      <c r="AB22">
        <v>3</v>
      </c>
      <c r="AC22">
        <v>5</v>
      </c>
      <c r="AD22">
        <v>3</v>
      </c>
      <c r="AE22">
        <v>10</v>
      </c>
      <c r="AF22">
        <v>1</v>
      </c>
      <c r="AG22">
        <v>5</v>
      </c>
      <c r="AH22">
        <v>1</v>
      </c>
      <c r="AI22" s="2" t="s">
        <v>134</v>
      </c>
    </row>
    <row r="23" spans="1:35" ht="29" x14ac:dyDescent="0.35">
      <c r="A23" s="1">
        <v>46200.351793981485</v>
      </c>
      <c r="B23" s="1">
        <v>46200.354525462964</v>
      </c>
      <c r="C23">
        <v>0</v>
      </c>
      <c r="D23" s="2" t="s">
        <v>135</v>
      </c>
      <c r="E23">
        <v>100</v>
      </c>
      <c r="F23">
        <v>235</v>
      </c>
      <c r="G23">
        <v>1</v>
      </c>
      <c r="H23" s="1">
        <v>46200.354537893516</v>
      </c>
      <c r="I23" s="2" t="s">
        <v>136</v>
      </c>
      <c r="J23">
        <v>34.058700000000002</v>
      </c>
      <c r="K23">
        <v>-118.27809999999999</v>
      </c>
      <c r="L23" s="2" t="s">
        <v>83</v>
      </c>
      <c r="M23" s="2" t="s">
        <v>78</v>
      </c>
      <c r="N23">
        <v>1</v>
      </c>
      <c r="O23">
        <v>30</v>
      </c>
      <c r="P23">
        <v>43</v>
      </c>
      <c r="Q23">
        <v>43</v>
      </c>
      <c r="R23">
        <v>43</v>
      </c>
      <c r="S23">
        <v>2</v>
      </c>
      <c r="T23">
        <v>43</v>
      </c>
      <c r="U23">
        <v>43</v>
      </c>
      <c r="V23">
        <v>43</v>
      </c>
      <c r="W23">
        <v>1</v>
      </c>
      <c r="X23">
        <v>43</v>
      </c>
      <c r="Y23">
        <v>5</v>
      </c>
      <c r="Z23">
        <v>5</v>
      </c>
      <c r="AA23">
        <v>5</v>
      </c>
      <c r="AB23">
        <v>5</v>
      </c>
      <c r="AC23">
        <v>5</v>
      </c>
      <c r="AD23">
        <v>3</v>
      </c>
      <c r="AE23">
        <v>10</v>
      </c>
      <c r="AF23">
        <v>1</v>
      </c>
      <c r="AG23">
        <v>2</v>
      </c>
      <c r="AH23">
        <v>2</v>
      </c>
      <c r="AI23" s="2" t="s">
        <v>75</v>
      </c>
    </row>
    <row r="24" spans="1:35" ht="29" x14ac:dyDescent="0.35">
      <c r="A24" s="1">
        <v>46200.356979166667</v>
      </c>
      <c r="B24" s="1">
        <v>46200.358680555553</v>
      </c>
      <c r="C24">
        <v>0</v>
      </c>
      <c r="D24" s="2" t="s">
        <v>137</v>
      </c>
      <c r="E24">
        <v>100</v>
      </c>
      <c r="F24">
        <v>146</v>
      </c>
      <c r="G24">
        <v>1</v>
      </c>
      <c r="H24" s="1">
        <v>46200.35869458333</v>
      </c>
      <c r="I24" s="2" t="s">
        <v>138</v>
      </c>
      <c r="J24">
        <v>40.1586</v>
      </c>
      <c r="K24">
        <v>-75.281999999999996</v>
      </c>
      <c r="L24" s="2" t="s">
        <v>83</v>
      </c>
      <c r="M24" s="2" t="s">
        <v>78</v>
      </c>
      <c r="N24">
        <v>1</v>
      </c>
      <c r="O24">
        <v>1</v>
      </c>
      <c r="P24">
        <v>30</v>
      </c>
      <c r="Q24">
        <v>43</v>
      </c>
      <c r="R24">
        <v>43</v>
      </c>
      <c r="S24">
        <v>2</v>
      </c>
      <c r="T24">
        <v>43</v>
      </c>
      <c r="U24">
        <v>43</v>
      </c>
      <c r="V24">
        <v>43</v>
      </c>
      <c r="W24">
        <v>43</v>
      </c>
      <c r="X24">
        <v>43</v>
      </c>
      <c r="Y24">
        <v>5</v>
      </c>
      <c r="Z24">
        <v>4</v>
      </c>
      <c r="AA24">
        <v>4</v>
      </c>
      <c r="AB24">
        <v>3</v>
      </c>
      <c r="AC24">
        <v>3</v>
      </c>
      <c r="AD24">
        <v>2</v>
      </c>
      <c r="AE24">
        <v>8</v>
      </c>
      <c r="AF24">
        <v>2</v>
      </c>
      <c r="AG24">
        <v>4</v>
      </c>
      <c r="AH24">
        <v>1</v>
      </c>
      <c r="AI24" s="2" t="s">
        <v>139</v>
      </c>
    </row>
    <row r="25" spans="1:35" ht="29" x14ac:dyDescent="0.35">
      <c r="A25" s="1">
        <v>46200.382303240738</v>
      </c>
      <c r="B25" s="1">
        <v>46200.383599537039</v>
      </c>
      <c r="C25">
        <v>0</v>
      </c>
      <c r="D25" s="2" t="s">
        <v>140</v>
      </c>
      <c r="E25">
        <v>100</v>
      </c>
      <c r="F25">
        <v>112</v>
      </c>
      <c r="G25">
        <v>1</v>
      </c>
      <c r="H25" s="1">
        <v>46200.38361759259</v>
      </c>
      <c r="I25" s="2" t="s">
        <v>141</v>
      </c>
      <c r="J25">
        <v>29.7026</v>
      </c>
      <c r="K25">
        <v>-98.475899999999996</v>
      </c>
      <c r="L25" s="2" t="s">
        <v>83</v>
      </c>
      <c r="M25" s="2" t="s">
        <v>78</v>
      </c>
      <c r="N25">
        <v>1</v>
      </c>
      <c r="O25">
        <v>1</v>
      </c>
      <c r="P25">
        <v>2</v>
      </c>
      <c r="Q25">
        <v>30</v>
      </c>
      <c r="R25">
        <v>43</v>
      </c>
      <c r="S25">
        <v>43</v>
      </c>
      <c r="T25" s="2" t="s">
        <v>75</v>
      </c>
      <c r="U25" s="2" t="s">
        <v>75</v>
      </c>
      <c r="V25">
        <v>43</v>
      </c>
      <c r="W25" s="2" t="s">
        <v>75</v>
      </c>
      <c r="X25" s="2" t="s">
        <v>75</v>
      </c>
      <c r="Y25">
        <v>5</v>
      </c>
      <c r="Z25">
        <v>4</v>
      </c>
      <c r="AA25">
        <v>4</v>
      </c>
      <c r="AB25">
        <v>2</v>
      </c>
      <c r="AC25">
        <v>3</v>
      </c>
      <c r="AD25">
        <v>2</v>
      </c>
      <c r="AE25">
        <v>7</v>
      </c>
      <c r="AF25">
        <v>1</v>
      </c>
      <c r="AG25">
        <v>1</v>
      </c>
      <c r="AH25">
        <v>2</v>
      </c>
      <c r="AI25" s="2" t="s">
        <v>142</v>
      </c>
    </row>
    <row r="26" spans="1:35" ht="29" x14ac:dyDescent="0.35">
      <c r="A26" s="1">
        <v>46200.419456018521</v>
      </c>
      <c r="B26" s="1">
        <v>46200.420567129629</v>
      </c>
      <c r="C26">
        <v>0</v>
      </c>
      <c r="D26" s="2" t="s">
        <v>143</v>
      </c>
      <c r="E26">
        <v>100</v>
      </c>
      <c r="F26">
        <v>95</v>
      </c>
      <c r="G26">
        <v>1</v>
      </c>
      <c r="H26" s="1">
        <v>46200.42057425926</v>
      </c>
      <c r="I26" s="2" t="s">
        <v>144</v>
      </c>
      <c r="J26">
        <v>33.468299999999999</v>
      </c>
      <c r="K26">
        <v>-112.0549</v>
      </c>
      <c r="L26" s="2" t="s">
        <v>83</v>
      </c>
      <c r="M26" s="2" t="s">
        <v>78</v>
      </c>
      <c r="N26">
        <v>1</v>
      </c>
      <c r="O26">
        <v>1</v>
      </c>
      <c r="P26">
        <v>2</v>
      </c>
      <c r="Q26">
        <v>43</v>
      </c>
      <c r="R26">
        <v>43</v>
      </c>
      <c r="S26">
        <v>30</v>
      </c>
      <c r="T26">
        <v>43</v>
      </c>
      <c r="U26">
        <v>43</v>
      </c>
      <c r="V26">
        <v>43</v>
      </c>
      <c r="W26">
        <v>43</v>
      </c>
      <c r="X26">
        <v>43</v>
      </c>
      <c r="Y26">
        <v>5</v>
      </c>
      <c r="Z26">
        <v>4</v>
      </c>
      <c r="AA26">
        <v>4</v>
      </c>
      <c r="AB26">
        <v>3</v>
      </c>
      <c r="AC26">
        <v>3</v>
      </c>
      <c r="AD26">
        <v>2</v>
      </c>
      <c r="AE26">
        <v>7</v>
      </c>
      <c r="AF26">
        <v>1</v>
      </c>
      <c r="AG26">
        <v>3</v>
      </c>
      <c r="AH26">
        <v>1</v>
      </c>
      <c r="AI26" s="2" t="s">
        <v>75</v>
      </c>
    </row>
    <row r="27" spans="1:35" ht="29" x14ac:dyDescent="0.35">
      <c r="A27" s="1">
        <v>46200.454305555555</v>
      </c>
      <c r="B27" s="1">
        <v>46200.45653935185</v>
      </c>
      <c r="C27">
        <v>0</v>
      </c>
      <c r="D27" s="2" t="s">
        <v>145</v>
      </c>
      <c r="E27">
        <v>100</v>
      </c>
      <c r="F27">
        <v>193</v>
      </c>
      <c r="G27">
        <v>1</v>
      </c>
      <c r="H27" s="1">
        <v>46200.456554745368</v>
      </c>
      <c r="I27" s="2" t="s">
        <v>146</v>
      </c>
      <c r="J27">
        <v>41.923000000000002</v>
      </c>
      <c r="K27">
        <v>-87.753100000000003</v>
      </c>
      <c r="L27" s="2" t="s">
        <v>83</v>
      </c>
      <c r="M27" s="2" t="s">
        <v>78</v>
      </c>
      <c r="N27">
        <v>3</v>
      </c>
      <c r="O27">
        <v>43</v>
      </c>
      <c r="P27">
        <v>43</v>
      </c>
      <c r="Q27">
        <v>43</v>
      </c>
      <c r="R27">
        <v>43</v>
      </c>
      <c r="S27">
        <v>2</v>
      </c>
      <c r="T27">
        <v>1</v>
      </c>
      <c r="U27">
        <v>30</v>
      </c>
      <c r="V27">
        <v>43</v>
      </c>
      <c r="W27">
        <v>43</v>
      </c>
      <c r="X27">
        <v>43</v>
      </c>
      <c r="Y27">
        <v>4</v>
      </c>
      <c r="Z27">
        <v>4</v>
      </c>
      <c r="AA27">
        <v>4</v>
      </c>
      <c r="AB27">
        <v>2</v>
      </c>
      <c r="AC27">
        <v>4</v>
      </c>
      <c r="AD27">
        <v>2</v>
      </c>
      <c r="AE27">
        <v>7</v>
      </c>
      <c r="AF27">
        <v>2</v>
      </c>
      <c r="AG27">
        <v>2</v>
      </c>
      <c r="AH27">
        <v>2</v>
      </c>
      <c r="AI27" s="2" t="s">
        <v>75</v>
      </c>
    </row>
    <row r="28" spans="1:35" ht="29" x14ac:dyDescent="0.35">
      <c r="A28" s="1">
        <v>46200.45890046296</v>
      </c>
      <c r="B28" s="1">
        <v>46200.460324074076</v>
      </c>
      <c r="C28">
        <v>0</v>
      </c>
      <c r="D28" s="2" t="s">
        <v>147</v>
      </c>
      <c r="E28">
        <v>100</v>
      </c>
      <c r="F28">
        <v>122</v>
      </c>
      <c r="G28">
        <v>1</v>
      </c>
      <c r="H28" s="1">
        <v>46200.460338564815</v>
      </c>
      <c r="I28" s="2" t="s">
        <v>148</v>
      </c>
      <c r="J28">
        <v>36.0154</v>
      </c>
      <c r="K28">
        <v>-83.414900000000003</v>
      </c>
      <c r="L28" s="2" t="s">
        <v>83</v>
      </c>
      <c r="M28" s="2" t="s">
        <v>78</v>
      </c>
      <c r="N28">
        <v>1</v>
      </c>
      <c r="O28">
        <v>1</v>
      </c>
      <c r="P28">
        <v>2</v>
      </c>
      <c r="Q28">
        <v>30</v>
      </c>
      <c r="R28">
        <v>43</v>
      </c>
      <c r="S28">
        <v>43</v>
      </c>
      <c r="T28">
        <v>43</v>
      </c>
      <c r="U28">
        <v>43</v>
      </c>
      <c r="V28">
        <v>43</v>
      </c>
      <c r="W28">
        <v>43</v>
      </c>
      <c r="X28">
        <v>43</v>
      </c>
      <c r="Y28">
        <v>5</v>
      </c>
      <c r="Z28">
        <v>5</v>
      </c>
      <c r="AA28">
        <v>5</v>
      </c>
      <c r="AB28">
        <v>3</v>
      </c>
      <c r="AC28">
        <v>4</v>
      </c>
      <c r="AD28">
        <v>2</v>
      </c>
      <c r="AE28">
        <v>7</v>
      </c>
      <c r="AF28">
        <v>1</v>
      </c>
      <c r="AG28">
        <v>3</v>
      </c>
      <c r="AH28">
        <v>1</v>
      </c>
      <c r="AI28" s="2" t="s">
        <v>149</v>
      </c>
    </row>
    <row r="29" spans="1:35" ht="29" x14ac:dyDescent="0.35">
      <c r="A29" s="1">
        <v>46200.506990740738</v>
      </c>
      <c r="B29" s="1">
        <v>46200.51153935185</v>
      </c>
      <c r="C29">
        <v>0</v>
      </c>
      <c r="D29" s="2" t="s">
        <v>129</v>
      </c>
      <c r="E29">
        <v>100</v>
      </c>
      <c r="F29">
        <v>393</v>
      </c>
      <c r="G29">
        <v>1</v>
      </c>
      <c r="H29" s="1">
        <v>46200.511547453701</v>
      </c>
      <c r="I29" s="2" t="s">
        <v>150</v>
      </c>
      <c r="J29">
        <v>33.93</v>
      </c>
      <c r="K29">
        <v>-117.9477</v>
      </c>
      <c r="L29" s="2" t="s">
        <v>83</v>
      </c>
      <c r="M29" s="2" t="s">
        <v>78</v>
      </c>
      <c r="N29">
        <v>2</v>
      </c>
      <c r="O29">
        <v>30</v>
      </c>
      <c r="P29">
        <v>43</v>
      </c>
      <c r="Q29">
        <v>43</v>
      </c>
      <c r="R29">
        <v>43</v>
      </c>
      <c r="S29">
        <v>1</v>
      </c>
      <c r="T29">
        <v>43</v>
      </c>
      <c r="U29">
        <v>2</v>
      </c>
      <c r="V29">
        <v>43</v>
      </c>
      <c r="W29">
        <v>43</v>
      </c>
      <c r="X29">
        <v>43</v>
      </c>
      <c r="Y29">
        <v>1</v>
      </c>
      <c r="Z29">
        <v>1</v>
      </c>
      <c r="AA29">
        <v>1</v>
      </c>
      <c r="AB29">
        <v>1</v>
      </c>
      <c r="AC29">
        <v>1</v>
      </c>
      <c r="AD29">
        <v>3</v>
      </c>
      <c r="AE29">
        <v>10</v>
      </c>
      <c r="AF29">
        <v>1</v>
      </c>
      <c r="AG29">
        <v>3</v>
      </c>
      <c r="AH29">
        <v>2</v>
      </c>
      <c r="AI29" s="2" t="s">
        <v>75</v>
      </c>
    </row>
    <row r="30" spans="1:35" ht="29" x14ac:dyDescent="0.35">
      <c r="A30" s="1">
        <v>46200.509895833333</v>
      </c>
      <c r="B30" s="1">
        <v>46200.512118055558</v>
      </c>
      <c r="C30">
        <v>0</v>
      </c>
      <c r="D30" s="2" t="s">
        <v>151</v>
      </c>
      <c r="E30">
        <v>100</v>
      </c>
      <c r="F30">
        <v>192</v>
      </c>
      <c r="G30">
        <v>1</v>
      </c>
      <c r="H30" s="1">
        <v>46200.512126921298</v>
      </c>
      <c r="I30" s="2" t="s">
        <v>152</v>
      </c>
      <c r="J30">
        <v>40.059800000000003</v>
      </c>
      <c r="K30">
        <v>-75.144800000000004</v>
      </c>
      <c r="L30" s="2" t="s">
        <v>83</v>
      </c>
      <c r="M30" s="2" t="s">
        <v>78</v>
      </c>
      <c r="N30">
        <v>1</v>
      </c>
      <c r="O30">
        <v>43</v>
      </c>
      <c r="P30">
        <v>43</v>
      </c>
      <c r="Q30">
        <v>43</v>
      </c>
      <c r="R30">
        <v>1</v>
      </c>
      <c r="S30">
        <v>2</v>
      </c>
      <c r="T30">
        <v>43</v>
      </c>
      <c r="U30">
        <v>1</v>
      </c>
      <c r="V30">
        <v>43</v>
      </c>
      <c r="W30">
        <v>43</v>
      </c>
      <c r="X30">
        <v>43</v>
      </c>
      <c r="Y30">
        <v>5</v>
      </c>
      <c r="Z30">
        <v>5</v>
      </c>
      <c r="AA30">
        <v>5</v>
      </c>
      <c r="AB30">
        <v>3</v>
      </c>
      <c r="AC30">
        <v>5</v>
      </c>
      <c r="AD30">
        <v>3</v>
      </c>
      <c r="AE30">
        <v>10</v>
      </c>
      <c r="AF30">
        <v>1</v>
      </c>
      <c r="AG30">
        <v>3</v>
      </c>
      <c r="AH30">
        <v>2</v>
      </c>
      <c r="AI30" s="2" t="s">
        <v>75</v>
      </c>
    </row>
    <row r="31" spans="1:35" ht="29" x14ac:dyDescent="0.35">
      <c r="A31" s="1">
        <v>46200.516759259262</v>
      </c>
      <c r="B31" s="1">
        <v>46200.518206018518</v>
      </c>
      <c r="C31">
        <v>0</v>
      </c>
      <c r="D31" s="2" t="s">
        <v>153</v>
      </c>
      <c r="E31">
        <v>100</v>
      </c>
      <c r="F31">
        <v>124</v>
      </c>
      <c r="G31">
        <v>1</v>
      </c>
      <c r="H31" s="1">
        <v>46200.518218206016</v>
      </c>
      <c r="I31" s="2" t="s">
        <v>154</v>
      </c>
      <c r="J31">
        <v>41.494300000000003</v>
      </c>
      <c r="K31">
        <v>-90.500100000000003</v>
      </c>
      <c r="L31" s="2" t="s">
        <v>83</v>
      </c>
      <c r="M31" s="2" t="s">
        <v>78</v>
      </c>
      <c r="N31">
        <v>1</v>
      </c>
      <c r="O31">
        <v>1</v>
      </c>
      <c r="P31">
        <v>43</v>
      </c>
      <c r="Q31">
        <v>43</v>
      </c>
      <c r="R31">
        <v>30</v>
      </c>
      <c r="S31">
        <v>43</v>
      </c>
      <c r="T31">
        <v>43</v>
      </c>
      <c r="U31">
        <v>43</v>
      </c>
      <c r="V31">
        <v>2</v>
      </c>
      <c r="W31">
        <v>43</v>
      </c>
      <c r="X31">
        <v>43</v>
      </c>
      <c r="Y31">
        <v>4</v>
      </c>
      <c r="Z31">
        <v>4</v>
      </c>
      <c r="AA31">
        <v>4</v>
      </c>
      <c r="AB31">
        <v>3</v>
      </c>
      <c r="AC31">
        <v>3</v>
      </c>
      <c r="AD31">
        <v>2</v>
      </c>
      <c r="AE31">
        <v>7</v>
      </c>
      <c r="AF31">
        <v>2</v>
      </c>
      <c r="AG31">
        <v>4</v>
      </c>
      <c r="AH31">
        <v>2</v>
      </c>
      <c r="AI31" s="2" t="s">
        <v>155</v>
      </c>
    </row>
    <row r="32" spans="1:35" ht="29" x14ac:dyDescent="0.35">
      <c r="A32" s="1">
        <v>46200.5312962963</v>
      </c>
      <c r="B32" s="1">
        <v>46200.532604166663</v>
      </c>
      <c r="C32">
        <v>0</v>
      </c>
      <c r="D32" s="2" t="s">
        <v>156</v>
      </c>
      <c r="E32">
        <v>100</v>
      </c>
      <c r="F32">
        <v>112</v>
      </c>
      <c r="G32">
        <v>1</v>
      </c>
      <c r="H32" s="1">
        <v>46200.53261736111</v>
      </c>
      <c r="I32" s="2" t="s">
        <v>157</v>
      </c>
      <c r="J32">
        <v>40.238100000000003</v>
      </c>
      <c r="K32">
        <v>-74.782200000000003</v>
      </c>
      <c r="L32" s="2" t="s">
        <v>83</v>
      </c>
      <c r="M32" s="2" t="s">
        <v>78</v>
      </c>
      <c r="N32">
        <v>1</v>
      </c>
      <c r="O32">
        <v>30</v>
      </c>
      <c r="P32">
        <v>43</v>
      </c>
      <c r="Q32">
        <v>2</v>
      </c>
      <c r="R32">
        <v>43</v>
      </c>
      <c r="S32">
        <v>1</v>
      </c>
      <c r="T32">
        <v>43</v>
      </c>
      <c r="U32">
        <v>43</v>
      </c>
      <c r="V32">
        <v>43</v>
      </c>
      <c r="W32">
        <v>43</v>
      </c>
      <c r="X32">
        <v>43</v>
      </c>
      <c r="Y32">
        <v>5</v>
      </c>
      <c r="Z32">
        <v>4</v>
      </c>
      <c r="AA32">
        <v>3</v>
      </c>
      <c r="AB32">
        <v>3</v>
      </c>
      <c r="AC32">
        <v>3</v>
      </c>
      <c r="AD32">
        <v>1</v>
      </c>
      <c r="AE32">
        <v>5</v>
      </c>
      <c r="AF32">
        <v>3</v>
      </c>
      <c r="AG32">
        <v>4</v>
      </c>
      <c r="AH32">
        <v>1</v>
      </c>
      <c r="AI32" s="2" t="s">
        <v>75</v>
      </c>
    </row>
    <row r="33" spans="1:35" ht="29" x14ac:dyDescent="0.35">
      <c r="A33" s="1">
        <v>46200.544907407406</v>
      </c>
      <c r="B33" s="1">
        <v>46200.547222222223</v>
      </c>
      <c r="C33">
        <v>0</v>
      </c>
      <c r="D33" s="2" t="s">
        <v>158</v>
      </c>
      <c r="E33">
        <v>100</v>
      </c>
      <c r="F33">
        <v>200</v>
      </c>
      <c r="G33">
        <v>1</v>
      </c>
      <c r="H33" s="1">
        <v>46200.547232488425</v>
      </c>
      <c r="I33" s="2" t="s">
        <v>159</v>
      </c>
      <c r="J33">
        <v>33.109699999999997</v>
      </c>
      <c r="K33">
        <v>-117.06699999999999</v>
      </c>
      <c r="L33" s="2" t="s">
        <v>83</v>
      </c>
      <c r="M33" s="2" t="s">
        <v>78</v>
      </c>
      <c r="N33">
        <v>1</v>
      </c>
      <c r="O33">
        <v>43</v>
      </c>
      <c r="P33">
        <v>1</v>
      </c>
      <c r="Q33">
        <v>43</v>
      </c>
      <c r="R33">
        <v>30</v>
      </c>
      <c r="S33">
        <v>43</v>
      </c>
      <c r="T33">
        <v>2</v>
      </c>
      <c r="U33">
        <v>2</v>
      </c>
      <c r="V33">
        <v>43</v>
      </c>
      <c r="W33">
        <v>43</v>
      </c>
      <c r="X33">
        <v>43</v>
      </c>
      <c r="Y33">
        <v>4</v>
      </c>
      <c r="Z33">
        <v>3</v>
      </c>
      <c r="AA33">
        <v>3</v>
      </c>
      <c r="AB33">
        <v>2</v>
      </c>
      <c r="AC33">
        <v>2</v>
      </c>
      <c r="AD33">
        <v>1</v>
      </c>
      <c r="AE33">
        <v>3</v>
      </c>
      <c r="AF33">
        <v>3</v>
      </c>
      <c r="AG33">
        <v>5</v>
      </c>
      <c r="AH33">
        <v>1</v>
      </c>
      <c r="AI33" s="2" t="s">
        <v>160</v>
      </c>
    </row>
    <row r="34" spans="1:35" ht="29" x14ac:dyDescent="0.35">
      <c r="A34" s="1">
        <v>46200.545937499999</v>
      </c>
      <c r="B34" s="1">
        <v>46200.550497685188</v>
      </c>
      <c r="C34">
        <v>0</v>
      </c>
      <c r="D34" s="2" t="s">
        <v>161</v>
      </c>
      <c r="E34">
        <v>100</v>
      </c>
      <c r="F34">
        <v>394</v>
      </c>
      <c r="G34">
        <v>1</v>
      </c>
      <c r="H34" s="1">
        <v>46200.550514155089</v>
      </c>
      <c r="I34" s="2" t="s">
        <v>162</v>
      </c>
      <c r="J34">
        <v>26.414100000000001</v>
      </c>
      <c r="K34">
        <v>-80.097200000000001</v>
      </c>
      <c r="L34" s="2" t="s">
        <v>83</v>
      </c>
      <c r="M34" s="2" t="s">
        <v>78</v>
      </c>
      <c r="N34">
        <v>1</v>
      </c>
      <c r="O34">
        <v>2</v>
      </c>
      <c r="P34">
        <v>43</v>
      </c>
      <c r="Q34">
        <v>43</v>
      </c>
      <c r="R34">
        <v>1</v>
      </c>
      <c r="S34">
        <v>43</v>
      </c>
      <c r="T34">
        <v>43</v>
      </c>
      <c r="U34">
        <v>43</v>
      </c>
      <c r="V34">
        <v>30</v>
      </c>
      <c r="W34">
        <v>43</v>
      </c>
      <c r="X34">
        <v>43</v>
      </c>
      <c r="Y34">
        <v>5</v>
      </c>
      <c r="Z34">
        <v>5</v>
      </c>
      <c r="AA34">
        <v>5</v>
      </c>
      <c r="AB34">
        <v>5</v>
      </c>
      <c r="AC34">
        <v>5</v>
      </c>
      <c r="AD34">
        <v>3</v>
      </c>
      <c r="AE34">
        <v>10</v>
      </c>
      <c r="AF34">
        <v>2</v>
      </c>
      <c r="AG34">
        <v>1</v>
      </c>
      <c r="AH34">
        <v>2</v>
      </c>
      <c r="AI34" s="2" t="s">
        <v>75</v>
      </c>
    </row>
    <row r="35" spans="1:35" ht="29" x14ac:dyDescent="0.35">
      <c r="A35" s="1">
        <v>46200.550578703704</v>
      </c>
      <c r="B35" s="1">
        <v>46200.551388888889</v>
      </c>
      <c r="C35">
        <v>0</v>
      </c>
      <c r="D35" s="2" t="s">
        <v>163</v>
      </c>
      <c r="E35">
        <v>100</v>
      </c>
      <c r="F35">
        <v>69</v>
      </c>
      <c r="G35">
        <v>1</v>
      </c>
      <c r="H35" s="1">
        <v>46200.551395601855</v>
      </c>
      <c r="I35" s="2" t="s">
        <v>164</v>
      </c>
      <c r="J35">
        <v>35.601700000000001</v>
      </c>
      <c r="K35">
        <v>139.7431</v>
      </c>
      <c r="L35" s="2" t="s">
        <v>83</v>
      </c>
      <c r="M35" s="2" t="s">
        <v>78</v>
      </c>
      <c r="N35">
        <v>1</v>
      </c>
      <c r="O35">
        <v>1</v>
      </c>
      <c r="P35">
        <v>2</v>
      </c>
      <c r="Q35">
        <v>43</v>
      </c>
      <c r="R35">
        <v>43</v>
      </c>
      <c r="S35">
        <v>30</v>
      </c>
      <c r="T35">
        <v>43</v>
      </c>
      <c r="U35">
        <v>43</v>
      </c>
      <c r="V35">
        <v>43</v>
      </c>
      <c r="W35">
        <v>43</v>
      </c>
      <c r="X35">
        <v>43</v>
      </c>
      <c r="Y35">
        <v>1</v>
      </c>
      <c r="Z35">
        <v>1</v>
      </c>
      <c r="AA35">
        <v>1</v>
      </c>
      <c r="AB35">
        <v>3</v>
      </c>
      <c r="AC35">
        <v>3</v>
      </c>
      <c r="AD35">
        <v>3</v>
      </c>
      <c r="AE35">
        <v>10</v>
      </c>
      <c r="AF35">
        <v>1</v>
      </c>
      <c r="AG35">
        <v>4</v>
      </c>
      <c r="AH35">
        <v>1</v>
      </c>
      <c r="AI35" s="2" t="s">
        <v>75</v>
      </c>
    </row>
    <row r="36" spans="1:35" ht="29" x14ac:dyDescent="0.35">
      <c r="A36" s="1">
        <v>46200.552187499998</v>
      </c>
      <c r="B36" s="1">
        <v>46200.554305555554</v>
      </c>
      <c r="C36">
        <v>0</v>
      </c>
      <c r="D36" s="2" t="s">
        <v>161</v>
      </c>
      <c r="E36">
        <v>100</v>
      </c>
      <c r="F36">
        <v>183</v>
      </c>
      <c r="G36">
        <v>1</v>
      </c>
      <c r="H36" s="1">
        <v>46200.554321979165</v>
      </c>
      <c r="I36" s="2" t="s">
        <v>165</v>
      </c>
      <c r="J36">
        <v>26.414100000000001</v>
      </c>
      <c r="K36">
        <v>-80.097200000000001</v>
      </c>
      <c r="L36" s="2" t="s">
        <v>83</v>
      </c>
      <c r="M36" s="2" t="s">
        <v>78</v>
      </c>
      <c r="N36">
        <v>1</v>
      </c>
      <c r="O36">
        <v>1</v>
      </c>
      <c r="P36">
        <v>30</v>
      </c>
      <c r="Q36">
        <v>30</v>
      </c>
      <c r="R36">
        <v>2</v>
      </c>
      <c r="S36">
        <v>43</v>
      </c>
      <c r="T36">
        <v>30</v>
      </c>
      <c r="U36">
        <v>30</v>
      </c>
      <c r="V36">
        <v>2</v>
      </c>
      <c r="W36">
        <v>43</v>
      </c>
      <c r="X36">
        <v>43</v>
      </c>
      <c r="Y36">
        <v>3</v>
      </c>
      <c r="Z36">
        <v>3</v>
      </c>
      <c r="AA36">
        <v>3</v>
      </c>
      <c r="AB36">
        <v>3</v>
      </c>
      <c r="AC36">
        <v>3</v>
      </c>
      <c r="AD36">
        <v>1</v>
      </c>
      <c r="AE36">
        <v>6</v>
      </c>
      <c r="AF36">
        <v>1</v>
      </c>
      <c r="AG36">
        <v>3</v>
      </c>
      <c r="AH36">
        <v>2</v>
      </c>
      <c r="AI36" s="2" t="s">
        <v>166</v>
      </c>
    </row>
    <row r="37" spans="1:35" ht="29" x14ac:dyDescent="0.35">
      <c r="A37" s="1">
        <v>46200.602361111109</v>
      </c>
      <c r="B37" s="1">
        <v>46200.603807870371</v>
      </c>
      <c r="C37">
        <v>0</v>
      </c>
      <c r="D37" s="2" t="s">
        <v>167</v>
      </c>
      <c r="E37">
        <v>100</v>
      </c>
      <c r="F37">
        <v>125</v>
      </c>
      <c r="G37">
        <v>1</v>
      </c>
      <c r="H37" s="1">
        <v>46200.603819027776</v>
      </c>
      <c r="I37" s="2" t="s">
        <v>168</v>
      </c>
      <c r="J37">
        <v>32.916400000000003</v>
      </c>
      <c r="K37">
        <v>-117.13930000000001</v>
      </c>
      <c r="L37" s="2" t="s">
        <v>83</v>
      </c>
      <c r="M37" s="2" t="s">
        <v>78</v>
      </c>
      <c r="N37">
        <v>2</v>
      </c>
      <c r="O37">
        <v>1</v>
      </c>
      <c r="P37">
        <v>43</v>
      </c>
      <c r="Q37">
        <v>43</v>
      </c>
      <c r="R37">
        <v>30</v>
      </c>
      <c r="S37">
        <v>43</v>
      </c>
      <c r="T37">
        <v>2</v>
      </c>
      <c r="U37">
        <v>43</v>
      </c>
      <c r="V37">
        <v>43</v>
      </c>
      <c r="W37">
        <v>43</v>
      </c>
      <c r="X37">
        <v>43</v>
      </c>
      <c r="Y37">
        <v>5</v>
      </c>
      <c r="Z37">
        <v>5</v>
      </c>
      <c r="AA37">
        <v>5</v>
      </c>
      <c r="AB37">
        <v>5</v>
      </c>
      <c r="AC37">
        <v>5</v>
      </c>
      <c r="AD37">
        <v>3</v>
      </c>
      <c r="AE37">
        <v>10</v>
      </c>
      <c r="AF37">
        <v>1</v>
      </c>
      <c r="AG37">
        <v>2</v>
      </c>
      <c r="AH37">
        <v>2</v>
      </c>
      <c r="AI37" s="2" t="s">
        <v>75</v>
      </c>
    </row>
    <row r="38" spans="1:35" ht="29" x14ac:dyDescent="0.35">
      <c r="A38" s="1">
        <v>46200.569131944445</v>
      </c>
      <c r="B38" s="1">
        <v>46200.663854166669</v>
      </c>
      <c r="C38">
        <v>0</v>
      </c>
      <c r="D38" s="2" t="s">
        <v>169</v>
      </c>
      <c r="E38">
        <v>100</v>
      </c>
      <c r="F38">
        <v>8183</v>
      </c>
      <c r="G38">
        <v>1</v>
      </c>
      <c r="H38" s="1">
        <v>46200.663866539355</v>
      </c>
      <c r="I38" s="2" t="s">
        <v>170</v>
      </c>
      <c r="J38">
        <v>40.014600000000002</v>
      </c>
      <c r="K38">
        <v>-75.7136</v>
      </c>
      <c r="L38" s="2" t="s">
        <v>83</v>
      </c>
      <c r="M38" s="2" t="s">
        <v>78</v>
      </c>
      <c r="N38">
        <v>1</v>
      </c>
      <c r="O38">
        <v>43</v>
      </c>
      <c r="P38">
        <v>30</v>
      </c>
      <c r="Q38">
        <v>43</v>
      </c>
      <c r="R38">
        <v>43</v>
      </c>
      <c r="S38">
        <v>2</v>
      </c>
      <c r="T38">
        <v>43</v>
      </c>
      <c r="U38">
        <v>43</v>
      </c>
      <c r="V38">
        <v>43</v>
      </c>
      <c r="W38">
        <v>1</v>
      </c>
      <c r="X38">
        <v>43</v>
      </c>
      <c r="Y38">
        <v>3</v>
      </c>
      <c r="Z38">
        <v>3</v>
      </c>
      <c r="AA38">
        <v>4</v>
      </c>
      <c r="AB38">
        <v>3</v>
      </c>
      <c r="AC38">
        <v>3</v>
      </c>
      <c r="AD38">
        <v>1</v>
      </c>
      <c r="AE38">
        <v>6</v>
      </c>
      <c r="AF38">
        <v>1</v>
      </c>
      <c r="AG38">
        <v>2</v>
      </c>
      <c r="AH38">
        <v>2</v>
      </c>
      <c r="AI38" s="2" t="s">
        <v>171</v>
      </c>
    </row>
    <row r="39" spans="1:35" ht="29" x14ac:dyDescent="0.35">
      <c r="A39" s="1">
        <v>46200.706793981481</v>
      </c>
      <c r="B39" s="1">
        <v>46200.708483796298</v>
      </c>
      <c r="C39">
        <v>0</v>
      </c>
      <c r="D39" s="2" t="s">
        <v>172</v>
      </c>
      <c r="E39">
        <v>100</v>
      </c>
      <c r="F39">
        <v>146</v>
      </c>
      <c r="G39">
        <v>1</v>
      </c>
      <c r="H39" s="1">
        <v>46200.708492881946</v>
      </c>
      <c r="I39" s="2" t="s">
        <v>173</v>
      </c>
      <c r="J39">
        <v>40.334400000000002</v>
      </c>
      <c r="K39">
        <v>-74.795000000000002</v>
      </c>
      <c r="L39" s="2" t="s">
        <v>83</v>
      </c>
      <c r="M39" s="2" t="s">
        <v>78</v>
      </c>
      <c r="N39">
        <v>1</v>
      </c>
      <c r="O39">
        <v>43</v>
      </c>
      <c r="P39">
        <v>1</v>
      </c>
      <c r="Q39">
        <v>43</v>
      </c>
      <c r="R39">
        <v>2</v>
      </c>
      <c r="S39">
        <v>30</v>
      </c>
      <c r="T39">
        <v>43</v>
      </c>
      <c r="U39">
        <v>43</v>
      </c>
      <c r="V39">
        <v>43</v>
      </c>
      <c r="W39">
        <v>43</v>
      </c>
      <c r="X39">
        <v>43</v>
      </c>
      <c r="Y39">
        <v>5</v>
      </c>
      <c r="Z39">
        <v>1</v>
      </c>
      <c r="AA39">
        <v>5</v>
      </c>
      <c r="AB39">
        <v>5</v>
      </c>
      <c r="AC39">
        <v>5</v>
      </c>
      <c r="AD39">
        <v>3</v>
      </c>
      <c r="AE39">
        <v>10</v>
      </c>
      <c r="AF39">
        <v>1</v>
      </c>
      <c r="AG39">
        <v>1</v>
      </c>
      <c r="AH39">
        <v>2</v>
      </c>
      <c r="AI39" s="2" t="s">
        <v>75</v>
      </c>
    </row>
  </sheetData>
  <autoFilter ref="A2:AI40" xr:uid="{00000000-0009-0000-0000-000000000000}">
    <sortState xmlns:xlrd2="http://schemas.microsoft.com/office/spreadsheetml/2017/richdata2" ref="A3:AI39">
      <sortCondition ref="L2:L4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3"/>
  <sheetViews>
    <sheetView workbookViewId="0">
      <selection activeCell="B12" sqref="B12"/>
    </sheetView>
  </sheetViews>
  <sheetFormatPr defaultRowHeight="14.5" x14ac:dyDescent="0.35"/>
  <cols>
    <col min="1" max="2" width="14.08984375" bestFit="1" customWidth="1"/>
    <col min="3" max="3" width="15.1796875" bestFit="1" customWidth="1"/>
    <col min="4" max="4" width="11.54296875" bestFit="1" customWidth="1"/>
    <col min="5" max="5" width="10.1796875" bestFit="1" customWidth="1"/>
    <col min="6" max="6" width="20.54296875" bestFit="1" customWidth="1"/>
    <col min="7" max="7" width="9.90625" bestFit="1" customWidth="1"/>
    <col min="8" max="8" width="15.1796875" bestFit="1" customWidth="1"/>
    <col min="9" max="9" width="13.08984375" bestFit="1" customWidth="1"/>
    <col min="10" max="10" width="19.90625" bestFit="1" customWidth="1"/>
    <col min="11" max="11" width="20.08984375" bestFit="1" customWidth="1"/>
    <col min="12" max="12" width="15.6328125" bestFit="1" customWidth="1"/>
    <col min="13" max="13" width="22.7265625" bestFit="1" customWidth="1"/>
    <col min="14" max="14" width="17.1796875" bestFit="1" customWidth="1"/>
    <col min="15" max="15" width="18.453125" bestFit="1" customWidth="1"/>
    <col min="16" max="16" width="19.81640625" bestFit="1" customWidth="1"/>
    <col min="17" max="17" width="15" bestFit="1" customWidth="1"/>
    <col min="18" max="18" width="78.36328125" bestFit="1" customWidth="1"/>
    <col min="19" max="28" width="255.6328125" bestFit="1" customWidth="1"/>
    <col min="29" max="29" width="136.26953125" bestFit="1" customWidth="1"/>
    <col min="30" max="30" width="145.26953125" bestFit="1" customWidth="1"/>
    <col min="31" max="31" width="142.81640625" bestFit="1" customWidth="1"/>
    <col min="32" max="32" width="147.81640625" bestFit="1" customWidth="1"/>
    <col min="33" max="33" width="123.81640625" bestFit="1" customWidth="1"/>
    <col min="34" max="34" width="89.90625" bestFit="1" customWidth="1"/>
    <col min="35" max="35" width="83.453125" bestFit="1" customWidth="1"/>
    <col min="36" max="36" width="73.26953125" bestFit="1" customWidth="1"/>
    <col min="37" max="37" width="68" bestFit="1" customWidth="1"/>
    <col min="38" max="38" width="51.81640625" bestFit="1" customWidth="1"/>
    <col min="39" max="39" width="105.54296875" bestFit="1" customWidth="1"/>
  </cols>
  <sheetData>
    <row r="1" spans="1:39"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row>
    <row r="2" spans="1:39" x14ac:dyDescent="0.35">
      <c r="A2" s="3" t="s">
        <v>39</v>
      </c>
      <c r="B2" s="3" t="s">
        <v>40</v>
      </c>
      <c r="C2" s="3" t="s">
        <v>41</v>
      </c>
      <c r="D2" s="3" t="s">
        <v>42</v>
      </c>
      <c r="E2" s="3" t="s">
        <v>4</v>
      </c>
      <c r="F2" s="3" t="s">
        <v>5</v>
      </c>
      <c r="G2" s="3" t="s">
        <v>6</v>
      </c>
      <c r="H2" s="3" t="s">
        <v>43</v>
      </c>
      <c r="I2" s="3" t="s">
        <v>44</v>
      </c>
      <c r="J2" s="3" t="s">
        <v>45</v>
      </c>
      <c r="K2" s="3" t="s">
        <v>46</v>
      </c>
      <c r="L2" s="3" t="s">
        <v>47</v>
      </c>
      <c r="M2" s="3" t="s">
        <v>48</v>
      </c>
      <c r="N2" s="3" t="s">
        <v>49</v>
      </c>
      <c r="O2" s="3" t="s">
        <v>50</v>
      </c>
      <c r="P2" s="3" t="s">
        <v>51</v>
      </c>
      <c r="Q2" s="3" t="s">
        <v>52</v>
      </c>
      <c r="R2" s="3" t="s">
        <v>53</v>
      </c>
      <c r="S2" s="3" t="s">
        <v>54</v>
      </c>
      <c r="T2" s="3" t="s">
        <v>55</v>
      </c>
      <c r="U2" s="3" t="s">
        <v>56</v>
      </c>
      <c r="V2" s="3" t="s">
        <v>57</v>
      </c>
      <c r="W2" s="3" t="s">
        <v>58</v>
      </c>
      <c r="X2" s="3" t="s">
        <v>59</v>
      </c>
      <c r="Y2" s="3" t="s">
        <v>60</v>
      </c>
      <c r="Z2" s="3" t="s">
        <v>61</v>
      </c>
      <c r="AA2" s="3" t="s">
        <v>62</v>
      </c>
      <c r="AB2" s="3" t="s">
        <v>63</v>
      </c>
      <c r="AC2" s="3" t="s">
        <v>64</v>
      </c>
      <c r="AD2" s="3" t="s">
        <v>65</v>
      </c>
      <c r="AE2" s="3" t="s">
        <v>66</v>
      </c>
      <c r="AF2" s="3" t="s">
        <v>67</v>
      </c>
      <c r="AG2" s="3" t="s">
        <v>68</v>
      </c>
      <c r="AH2" s="3" t="s">
        <v>69</v>
      </c>
      <c r="AI2" s="3" t="s">
        <v>70</v>
      </c>
      <c r="AJ2" s="3" t="s">
        <v>71</v>
      </c>
      <c r="AK2" s="3" t="s">
        <v>72</v>
      </c>
      <c r="AL2" s="3" t="s">
        <v>73</v>
      </c>
      <c r="AM2" s="3" t="s">
        <v>74</v>
      </c>
    </row>
    <row r="3" spans="1:39" ht="43.5" x14ac:dyDescent="0.35">
      <c r="A3" s="1">
        <v>46197.60596064815</v>
      </c>
      <c r="B3" s="1">
        <v>46197.606111111112</v>
      </c>
      <c r="C3">
        <v>1</v>
      </c>
      <c r="D3" s="2" t="s">
        <v>75</v>
      </c>
      <c r="E3">
        <v>100</v>
      </c>
      <c r="F3">
        <v>13</v>
      </c>
      <c r="G3">
        <v>1</v>
      </c>
      <c r="H3" s="1">
        <v>46197.606127187501</v>
      </c>
      <c r="I3" s="2" t="s">
        <v>76</v>
      </c>
      <c r="J3" s="2" t="s">
        <v>75</v>
      </c>
      <c r="K3" s="2" t="s">
        <v>75</v>
      </c>
      <c r="L3" s="2" t="s">
        <v>75</v>
      </c>
      <c r="M3" s="2" t="s">
        <v>75</v>
      </c>
      <c r="N3">
        <v>34.1449</v>
      </c>
      <c r="O3">
        <v>-118.3887</v>
      </c>
      <c r="P3" s="2" t="s">
        <v>77</v>
      </c>
      <c r="Q3" s="2" t="s">
        <v>78</v>
      </c>
      <c r="R3" s="2" t="s">
        <v>75</v>
      </c>
      <c r="S3" s="2" t="s">
        <v>75</v>
      </c>
      <c r="T3" s="2" t="s">
        <v>75</v>
      </c>
      <c r="U3" s="2" t="s">
        <v>75</v>
      </c>
      <c r="V3" s="2" t="s">
        <v>75</v>
      </c>
      <c r="W3" s="2" t="s">
        <v>75</v>
      </c>
      <c r="X3" s="2" t="s">
        <v>75</v>
      </c>
      <c r="Y3" s="2" t="s">
        <v>75</v>
      </c>
      <c r="Z3" s="2" t="s">
        <v>75</v>
      </c>
      <c r="AA3" s="2" t="s">
        <v>75</v>
      </c>
      <c r="AB3" s="2" t="s">
        <v>75</v>
      </c>
      <c r="AC3" s="2" t="s">
        <v>75</v>
      </c>
      <c r="AD3" s="2" t="s">
        <v>75</v>
      </c>
      <c r="AE3" s="2" t="s">
        <v>75</v>
      </c>
      <c r="AF3" s="2" t="s">
        <v>75</v>
      </c>
      <c r="AG3" s="2" t="s">
        <v>75</v>
      </c>
      <c r="AH3" s="2" t="s">
        <v>75</v>
      </c>
      <c r="AI3" s="2" t="s">
        <v>75</v>
      </c>
      <c r="AJ3" s="2" t="s">
        <v>75</v>
      </c>
      <c r="AK3" s="2" t="s">
        <v>75</v>
      </c>
      <c r="AL3" s="2" t="s">
        <v>75</v>
      </c>
      <c r="AM3" s="2" t="s">
        <v>75</v>
      </c>
    </row>
    <row r="4" spans="1:39" ht="43.5" x14ac:dyDescent="0.35">
      <c r="A4" s="1">
        <v>46197.829652777778</v>
      </c>
      <c r="B4" s="1">
        <v>46197.830729166664</v>
      </c>
      <c r="C4">
        <v>1</v>
      </c>
      <c r="D4" s="2" t="s">
        <v>75</v>
      </c>
      <c r="E4">
        <v>100</v>
      </c>
      <c r="F4">
        <v>92</v>
      </c>
      <c r="G4">
        <v>1</v>
      </c>
      <c r="H4" s="1">
        <v>46197.830740127312</v>
      </c>
      <c r="I4" s="2" t="s">
        <v>79</v>
      </c>
      <c r="J4" s="2" t="s">
        <v>75</v>
      </c>
      <c r="K4" s="2" t="s">
        <v>75</v>
      </c>
      <c r="L4" s="2" t="s">
        <v>75</v>
      </c>
      <c r="M4" s="2" t="s">
        <v>75</v>
      </c>
      <c r="N4">
        <v>34.1449</v>
      </c>
      <c r="O4">
        <v>-118.3887</v>
      </c>
      <c r="P4" s="2" t="s">
        <v>77</v>
      </c>
      <c r="Q4" s="2" t="s">
        <v>78</v>
      </c>
      <c r="R4">
        <v>2</v>
      </c>
      <c r="S4">
        <v>1</v>
      </c>
      <c r="T4">
        <v>2</v>
      </c>
      <c r="U4" s="2" t="s">
        <v>75</v>
      </c>
      <c r="V4" s="2" t="s">
        <v>75</v>
      </c>
      <c r="W4">
        <v>30</v>
      </c>
      <c r="X4" s="2" t="s">
        <v>75</v>
      </c>
      <c r="Y4" s="2" t="s">
        <v>75</v>
      </c>
      <c r="Z4" s="2" t="s">
        <v>75</v>
      </c>
      <c r="AA4" s="2" t="s">
        <v>75</v>
      </c>
      <c r="AB4" s="2" t="s">
        <v>75</v>
      </c>
      <c r="AC4">
        <v>5</v>
      </c>
      <c r="AD4">
        <v>5</v>
      </c>
      <c r="AE4">
        <v>4</v>
      </c>
      <c r="AF4">
        <v>3</v>
      </c>
      <c r="AG4">
        <v>3</v>
      </c>
      <c r="AH4">
        <v>2</v>
      </c>
      <c r="AI4">
        <v>7</v>
      </c>
      <c r="AJ4">
        <v>2</v>
      </c>
      <c r="AK4">
        <v>2</v>
      </c>
      <c r="AL4">
        <v>2</v>
      </c>
      <c r="AM4" s="2" t="s">
        <v>75</v>
      </c>
    </row>
    <row r="5" spans="1:39" ht="43.5" x14ac:dyDescent="0.35">
      <c r="A5" s="1">
        <v>46197.83457175926</v>
      </c>
      <c r="B5" s="1">
        <v>46197.835162037038</v>
      </c>
      <c r="C5">
        <v>1</v>
      </c>
      <c r="D5" s="2" t="s">
        <v>75</v>
      </c>
      <c r="E5">
        <v>100</v>
      </c>
      <c r="F5">
        <v>50</v>
      </c>
      <c r="G5">
        <v>1</v>
      </c>
      <c r="H5" s="1">
        <v>46197.835172303239</v>
      </c>
      <c r="I5" s="2" t="s">
        <v>80</v>
      </c>
      <c r="J5" s="2" t="s">
        <v>75</v>
      </c>
      <c r="K5" s="2" t="s">
        <v>75</v>
      </c>
      <c r="L5" s="2" t="s">
        <v>75</v>
      </c>
      <c r="M5" s="2" t="s">
        <v>75</v>
      </c>
      <c r="N5">
        <v>34.1449</v>
      </c>
      <c r="O5">
        <v>-118.3887</v>
      </c>
      <c r="P5" s="2" t="s">
        <v>77</v>
      </c>
      <c r="Q5" s="2" t="s">
        <v>78</v>
      </c>
      <c r="R5">
        <v>2</v>
      </c>
      <c r="S5">
        <v>43</v>
      </c>
      <c r="T5">
        <v>1</v>
      </c>
      <c r="U5">
        <v>43</v>
      </c>
      <c r="V5">
        <v>43</v>
      </c>
      <c r="W5">
        <v>30</v>
      </c>
      <c r="X5">
        <v>43</v>
      </c>
      <c r="Y5">
        <v>43</v>
      </c>
      <c r="Z5">
        <v>43</v>
      </c>
      <c r="AA5">
        <v>2</v>
      </c>
      <c r="AB5">
        <v>43</v>
      </c>
      <c r="AC5">
        <v>4</v>
      </c>
      <c r="AD5">
        <v>3</v>
      </c>
      <c r="AE5">
        <v>4</v>
      </c>
      <c r="AF5">
        <v>3</v>
      </c>
      <c r="AG5">
        <v>3</v>
      </c>
      <c r="AH5">
        <v>2</v>
      </c>
      <c r="AI5">
        <v>7</v>
      </c>
      <c r="AJ5">
        <v>3</v>
      </c>
      <c r="AK5">
        <v>2</v>
      </c>
      <c r="AL5">
        <v>2</v>
      </c>
      <c r="AM5" s="2" t="s">
        <v>75</v>
      </c>
    </row>
    <row r="6" spans="1:39" ht="43.5" x14ac:dyDescent="0.35">
      <c r="A6" s="1">
        <v>46197.700752314813</v>
      </c>
      <c r="B6" s="1">
        <v>46198.594895833332</v>
      </c>
      <c r="C6">
        <v>0</v>
      </c>
      <c r="D6" s="2" t="s">
        <v>81</v>
      </c>
      <c r="E6">
        <v>100</v>
      </c>
      <c r="F6">
        <v>77254</v>
      </c>
      <c r="G6">
        <v>1</v>
      </c>
      <c r="H6" s="1">
        <v>46198.59490733796</v>
      </c>
      <c r="I6" s="2" t="s">
        <v>82</v>
      </c>
      <c r="J6" s="2" t="s">
        <v>75</v>
      </c>
      <c r="K6" s="2" t="s">
        <v>75</v>
      </c>
      <c r="L6" s="2" t="s">
        <v>75</v>
      </c>
      <c r="M6" s="2" t="s">
        <v>75</v>
      </c>
      <c r="N6">
        <v>34.195</v>
      </c>
      <c r="O6">
        <v>-118.44499999999999</v>
      </c>
      <c r="P6" s="2" t="s">
        <v>83</v>
      </c>
      <c r="Q6" s="2" t="s">
        <v>78</v>
      </c>
      <c r="R6">
        <v>1</v>
      </c>
      <c r="S6">
        <v>1</v>
      </c>
      <c r="T6" s="2" t="s">
        <v>75</v>
      </c>
      <c r="U6" s="2" t="s">
        <v>75</v>
      </c>
      <c r="V6" s="2" t="s">
        <v>75</v>
      </c>
      <c r="W6" s="2" t="s">
        <v>75</v>
      </c>
      <c r="X6" s="2" t="s">
        <v>75</v>
      </c>
      <c r="Y6" s="2" t="s">
        <v>75</v>
      </c>
      <c r="Z6" s="2" t="s">
        <v>75</v>
      </c>
      <c r="AA6" s="2" t="s">
        <v>75</v>
      </c>
      <c r="AB6" s="2" t="s">
        <v>75</v>
      </c>
      <c r="AC6">
        <v>5</v>
      </c>
      <c r="AD6">
        <v>4</v>
      </c>
      <c r="AE6">
        <v>4</v>
      </c>
      <c r="AF6">
        <v>4</v>
      </c>
      <c r="AG6">
        <v>4</v>
      </c>
      <c r="AH6">
        <v>2</v>
      </c>
      <c r="AI6">
        <v>7</v>
      </c>
      <c r="AJ6">
        <v>2</v>
      </c>
      <c r="AK6">
        <v>4</v>
      </c>
      <c r="AL6">
        <v>1</v>
      </c>
      <c r="AM6" s="2" t="s">
        <v>75</v>
      </c>
    </row>
    <row r="7" spans="1:39" ht="145" x14ac:dyDescent="0.35">
      <c r="A7" s="1">
        <v>46199.713726851849</v>
      </c>
      <c r="B7" s="1">
        <v>46199.715115740742</v>
      </c>
      <c r="C7">
        <v>0</v>
      </c>
      <c r="D7" s="2" t="s">
        <v>84</v>
      </c>
      <c r="E7">
        <v>100</v>
      </c>
      <c r="F7">
        <v>119</v>
      </c>
      <c r="G7">
        <v>1</v>
      </c>
      <c r="H7" s="1">
        <v>46199.715128784723</v>
      </c>
      <c r="I7" s="2" t="s">
        <v>85</v>
      </c>
      <c r="J7" s="2" t="s">
        <v>75</v>
      </c>
      <c r="K7" s="2" t="s">
        <v>75</v>
      </c>
      <c r="L7" s="2" t="s">
        <v>75</v>
      </c>
      <c r="M7" s="2" t="s">
        <v>75</v>
      </c>
      <c r="N7">
        <v>33.979399999999998</v>
      </c>
      <c r="O7">
        <v>-118.0609</v>
      </c>
      <c r="P7" s="2" t="s">
        <v>83</v>
      </c>
      <c r="Q7" s="2" t="s">
        <v>78</v>
      </c>
      <c r="R7">
        <v>1</v>
      </c>
      <c r="S7">
        <v>43</v>
      </c>
      <c r="T7">
        <v>43</v>
      </c>
      <c r="U7">
        <v>43</v>
      </c>
      <c r="V7">
        <v>30</v>
      </c>
      <c r="W7">
        <v>1</v>
      </c>
      <c r="X7">
        <v>43</v>
      </c>
      <c r="Y7">
        <v>43</v>
      </c>
      <c r="Z7">
        <v>2</v>
      </c>
      <c r="AA7">
        <v>43</v>
      </c>
      <c r="AB7">
        <v>43</v>
      </c>
      <c r="AC7">
        <v>4</v>
      </c>
      <c r="AD7">
        <v>3</v>
      </c>
      <c r="AE7">
        <v>5</v>
      </c>
      <c r="AF7">
        <v>4</v>
      </c>
      <c r="AG7">
        <v>4</v>
      </c>
      <c r="AH7">
        <v>1</v>
      </c>
      <c r="AI7">
        <v>5</v>
      </c>
      <c r="AJ7">
        <v>2</v>
      </c>
      <c r="AK7">
        <v>2</v>
      </c>
      <c r="AL7">
        <v>1</v>
      </c>
      <c r="AM7" s="2" t="s">
        <v>86</v>
      </c>
    </row>
    <row r="8" spans="1:39" ht="43.5" x14ac:dyDescent="0.35">
      <c r="A8" s="1">
        <v>46199.717175925929</v>
      </c>
      <c r="B8" s="1">
        <v>46199.718090277776</v>
      </c>
      <c r="C8">
        <v>0</v>
      </c>
      <c r="D8" s="2" t="s">
        <v>87</v>
      </c>
      <c r="E8">
        <v>100</v>
      </c>
      <c r="F8">
        <v>79</v>
      </c>
      <c r="G8">
        <v>1</v>
      </c>
      <c r="H8" s="1">
        <v>46199.718098784724</v>
      </c>
      <c r="I8" s="2" t="s">
        <v>88</v>
      </c>
      <c r="J8" s="2" t="s">
        <v>75</v>
      </c>
      <c r="K8" s="2" t="s">
        <v>75</v>
      </c>
      <c r="L8" s="2" t="s">
        <v>75</v>
      </c>
      <c r="M8" s="2" t="s">
        <v>75</v>
      </c>
      <c r="N8">
        <v>33.9893</v>
      </c>
      <c r="O8">
        <v>-118.089</v>
      </c>
      <c r="P8" s="2" t="s">
        <v>83</v>
      </c>
      <c r="Q8" s="2" t="s">
        <v>78</v>
      </c>
      <c r="R8">
        <v>3</v>
      </c>
      <c r="S8">
        <v>1</v>
      </c>
      <c r="T8">
        <v>2</v>
      </c>
      <c r="U8">
        <v>43</v>
      </c>
      <c r="V8">
        <v>30</v>
      </c>
      <c r="W8">
        <v>43</v>
      </c>
      <c r="X8">
        <v>30</v>
      </c>
      <c r="Y8">
        <v>43</v>
      </c>
      <c r="Z8">
        <v>43</v>
      </c>
      <c r="AA8">
        <v>43</v>
      </c>
      <c r="AB8">
        <v>43</v>
      </c>
      <c r="AC8">
        <v>5</v>
      </c>
      <c r="AD8">
        <v>5</v>
      </c>
      <c r="AE8">
        <v>5</v>
      </c>
      <c r="AF8">
        <v>5</v>
      </c>
      <c r="AG8">
        <v>5</v>
      </c>
      <c r="AH8">
        <v>2</v>
      </c>
      <c r="AI8">
        <v>7</v>
      </c>
      <c r="AJ8">
        <v>2</v>
      </c>
      <c r="AK8">
        <v>5</v>
      </c>
      <c r="AL8">
        <v>2</v>
      </c>
      <c r="AM8" s="2" t="s">
        <v>75</v>
      </c>
    </row>
    <row r="9" spans="1:39" ht="43.5" x14ac:dyDescent="0.35">
      <c r="A9" s="1">
        <v>46199.717106481483</v>
      </c>
      <c r="B9" s="1">
        <v>46199.723564814813</v>
      </c>
      <c r="C9">
        <v>0</v>
      </c>
      <c r="D9" s="2" t="s">
        <v>89</v>
      </c>
      <c r="E9">
        <v>100</v>
      </c>
      <c r="F9">
        <v>557</v>
      </c>
      <c r="G9">
        <v>1</v>
      </c>
      <c r="H9" s="1">
        <v>46199.723575289354</v>
      </c>
      <c r="I9" s="2" t="s">
        <v>90</v>
      </c>
      <c r="J9" s="2" t="s">
        <v>75</v>
      </c>
      <c r="K9" s="2" t="s">
        <v>75</v>
      </c>
      <c r="L9" s="2" t="s">
        <v>75</v>
      </c>
      <c r="M9" s="2" t="s">
        <v>75</v>
      </c>
      <c r="N9">
        <v>33.988900000000001</v>
      </c>
      <c r="O9">
        <v>-118.15300000000001</v>
      </c>
      <c r="P9" s="2" t="s">
        <v>83</v>
      </c>
      <c r="Q9" s="2" t="s">
        <v>78</v>
      </c>
      <c r="R9">
        <v>1</v>
      </c>
      <c r="S9">
        <v>43</v>
      </c>
      <c r="T9">
        <v>43</v>
      </c>
      <c r="U9">
        <v>43</v>
      </c>
      <c r="V9">
        <v>43</v>
      </c>
      <c r="W9">
        <v>43</v>
      </c>
      <c r="X9">
        <v>43</v>
      </c>
      <c r="Y9">
        <v>43</v>
      </c>
      <c r="Z9">
        <v>43</v>
      </c>
      <c r="AA9">
        <v>43</v>
      </c>
      <c r="AB9">
        <v>1</v>
      </c>
      <c r="AC9">
        <v>5</v>
      </c>
      <c r="AD9">
        <v>4</v>
      </c>
      <c r="AE9">
        <v>3</v>
      </c>
      <c r="AF9">
        <v>2</v>
      </c>
      <c r="AG9">
        <v>3</v>
      </c>
      <c r="AH9">
        <v>1</v>
      </c>
      <c r="AI9">
        <v>5</v>
      </c>
      <c r="AJ9">
        <v>2</v>
      </c>
      <c r="AK9">
        <v>2</v>
      </c>
      <c r="AL9">
        <v>2</v>
      </c>
      <c r="AM9" s="2" t="s">
        <v>91</v>
      </c>
    </row>
    <row r="10" spans="1:39" ht="43.5" x14ac:dyDescent="0.35">
      <c r="A10" s="1">
        <v>46200.052951388891</v>
      </c>
      <c r="B10" s="1">
        <v>46200.056157407409</v>
      </c>
      <c r="C10">
        <v>0</v>
      </c>
      <c r="D10" s="2" t="s">
        <v>92</v>
      </c>
      <c r="E10">
        <v>100</v>
      </c>
      <c r="F10">
        <v>277</v>
      </c>
      <c r="G10">
        <v>1</v>
      </c>
      <c r="H10" s="1">
        <v>46200.056169004631</v>
      </c>
      <c r="I10" s="2" t="s">
        <v>93</v>
      </c>
      <c r="J10" s="2" t="s">
        <v>75</v>
      </c>
      <c r="K10" s="2" t="s">
        <v>75</v>
      </c>
      <c r="L10" s="2" t="s">
        <v>75</v>
      </c>
      <c r="M10" s="2" t="s">
        <v>75</v>
      </c>
      <c r="N10">
        <v>34.122700000000002</v>
      </c>
      <c r="O10">
        <v>-118.7573</v>
      </c>
      <c r="P10" s="2" t="s">
        <v>83</v>
      </c>
      <c r="Q10" s="2" t="s">
        <v>78</v>
      </c>
      <c r="R10">
        <v>1</v>
      </c>
      <c r="S10">
        <v>2</v>
      </c>
      <c r="T10">
        <v>43</v>
      </c>
      <c r="U10">
        <v>30</v>
      </c>
      <c r="V10">
        <v>43</v>
      </c>
      <c r="W10">
        <v>43</v>
      </c>
      <c r="X10">
        <v>43</v>
      </c>
      <c r="Y10">
        <v>43</v>
      </c>
      <c r="Z10">
        <v>43</v>
      </c>
      <c r="AA10">
        <v>1</v>
      </c>
      <c r="AB10">
        <v>43</v>
      </c>
      <c r="AC10">
        <v>5</v>
      </c>
      <c r="AD10">
        <v>4</v>
      </c>
      <c r="AE10">
        <v>4</v>
      </c>
      <c r="AF10">
        <v>5</v>
      </c>
      <c r="AG10">
        <v>3</v>
      </c>
      <c r="AH10">
        <v>2</v>
      </c>
      <c r="AI10">
        <v>7</v>
      </c>
      <c r="AJ10">
        <v>1</v>
      </c>
      <c r="AK10">
        <v>1</v>
      </c>
      <c r="AL10">
        <v>2</v>
      </c>
      <c r="AM10" s="2" t="s">
        <v>94</v>
      </c>
    </row>
    <row r="11" spans="1:39" ht="174" x14ac:dyDescent="0.35">
      <c r="A11" s="1">
        <v>46200.244074074071</v>
      </c>
      <c r="B11" s="1">
        <v>46200.246145833335</v>
      </c>
      <c r="C11">
        <v>0</v>
      </c>
      <c r="D11" s="2" t="s">
        <v>95</v>
      </c>
      <c r="E11">
        <v>100</v>
      </c>
      <c r="F11">
        <v>179</v>
      </c>
      <c r="G11">
        <v>1</v>
      </c>
      <c r="H11" s="1">
        <v>46200.246162939817</v>
      </c>
      <c r="I11" s="2" t="s">
        <v>96</v>
      </c>
      <c r="J11" s="2" t="s">
        <v>75</v>
      </c>
      <c r="K11" s="2" t="s">
        <v>75</v>
      </c>
      <c r="L11" s="2" t="s">
        <v>75</v>
      </c>
      <c r="M11" s="2" t="s">
        <v>75</v>
      </c>
      <c r="N11">
        <v>39.884</v>
      </c>
      <c r="O11">
        <v>-74.972099999999998</v>
      </c>
      <c r="P11" s="2" t="s">
        <v>83</v>
      </c>
      <c r="Q11" s="2" t="s">
        <v>78</v>
      </c>
      <c r="R11">
        <v>2</v>
      </c>
      <c r="S11">
        <v>1</v>
      </c>
      <c r="T11">
        <v>2</v>
      </c>
      <c r="U11">
        <v>30</v>
      </c>
      <c r="V11">
        <v>43</v>
      </c>
      <c r="W11">
        <v>43</v>
      </c>
      <c r="X11">
        <v>43</v>
      </c>
      <c r="Y11">
        <v>43</v>
      </c>
      <c r="Z11">
        <v>43</v>
      </c>
      <c r="AA11">
        <v>43</v>
      </c>
      <c r="AB11">
        <v>43</v>
      </c>
      <c r="AC11">
        <v>4</v>
      </c>
      <c r="AD11">
        <v>4</v>
      </c>
      <c r="AE11">
        <v>4</v>
      </c>
      <c r="AF11">
        <v>4</v>
      </c>
      <c r="AG11">
        <v>3</v>
      </c>
      <c r="AH11">
        <v>2</v>
      </c>
      <c r="AI11">
        <v>7</v>
      </c>
      <c r="AJ11">
        <v>2</v>
      </c>
      <c r="AK11">
        <v>4</v>
      </c>
      <c r="AL11">
        <v>1</v>
      </c>
      <c r="AM11" s="2" t="s">
        <v>97</v>
      </c>
    </row>
    <row r="12" spans="1:39" ht="87" x14ac:dyDescent="0.35">
      <c r="A12" s="1">
        <v>46200.25271990741</v>
      </c>
      <c r="B12" s="1">
        <v>46200.253900462965</v>
      </c>
      <c r="C12">
        <v>0</v>
      </c>
      <c r="D12" s="2" t="s">
        <v>98</v>
      </c>
      <c r="E12">
        <v>100</v>
      </c>
      <c r="F12">
        <v>101</v>
      </c>
      <c r="G12">
        <v>1</v>
      </c>
      <c r="H12" s="1">
        <v>46200.253907650462</v>
      </c>
      <c r="I12" s="2" t="s">
        <v>99</v>
      </c>
      <c r="J12" s="2" t="s">
        <v>75</v>
      </c>
      <c r="K12" s="2" t="s">
        <v>75</v>
      </c>
      <c r="L12" s="2" t="s">
        <v>75</v>
      </c>
      <c r="M12" s="2" t="s">
        <v>75</v>
      </c>
      <c r="N12">
        <v>40.207000000000001</v>
      </c>
      <c r="O12">
        <v>-75.074399999999997</v>
      </c>
      <c r="P12" s="2" t="s">
        <v>83</v>
      </c>
      <c r="Q12" s="2" t="s">
        <v>78</v>
      </c>
      <c r="R12">
        <v>1</v>
      </c>
      <c r="S12">
        <v>30</v>
      </c>
      <c r="T12">
        <v>1</v>
      </c>
      <c r="U12">
        <v>43</v>
      </c>
      <c r="V12">
        <v>43</v>
      </c>
      <c r="W12">
        <v>43</v>
      </c>
      <c r="X12">
        <v>2</v>
      </c>
      <c r="Y12">
        <v>43</v>
      </c>
      <c r="Z12">
        <v>43</v>
      </c>
      <c r="AA12">
        <v>43</v>
      </c>
      <c r="AB12">
        <v>43</v>
      </c>
      <c r="AC12">
        <v>5</v>
      </c>
      <c r="AD12">
        <v>5</v>
      </c>
      <c r="AE12">
        <v>5</v>
      </c>
      <c r="AF12">
        <v>5</v>
      </c>
      <c r="AG12">
        <v>5</v>
      </c>
      <c r="AH12">
        <v>3</v>
      </c>
      <c r="AI12">
        <v>10</v>
      </c>
      <c r="AJ12">
        <v>1</v>
      </c>
      <c r="AK12">
        <v>2</v>
      </c>
      <c r="AL12">
        <v>2</v>
      </c>
      <c r="AM12" s="2" t="s">
        <v>100</v>
      </c>
    </row>
    <row r="13" spans="1:39" ht="43.5" x14ac:dyDescent="0.35">
      <c r="A13" s="1">
        <v>46200.256041666667</v>
      </c>
      <c r="B13" s="1">
        <v>46200.257002314815</v>
      </c>
      <c r="C13">
        <v>0</v>
      </c>
      <c r="D13" s="2" t="s">
        <v>101</v>
      </c>
      <c r="E13">
        <v>100</v>
      </c>
      <c r="F13">
        <v>82</v>
      </c>
      <c r="G13">
        <v>1</v>
      </c>
      <c r="H13" s="1">
        <v>46200.257012685186</v>
      </c>
      <c r="I13" s="2" t="s">
        <v>102</v>
      </c>
      <c r="J13" s="2" t="s">
        <v>75</v>
      </c>
      <c r="K13" s="2" t="s">
        <v>75</v>
      </c>
      <c r="L13" s="2" t="s">
        <v>75</v>
      </c>
      <c r="M13" s="2" t="s">
        <v>75</v>
      </c>
      <c r="N13">
        <v>39.663499999999999</v>
      </c>
      <c r="O13">
        <v>-84.243899999999996</v>
      </c>
      <c r="P13" s="2" t="s">
        <v>83</v>
      </c>
      <c r="Q13" s="2" t="s">
        <v>78</v>
      </c>
      <c r="R13">
        <v>1</v>
      </c>
      <c r="S13">
        <v>1</v>
      </c>
      <c r="T13">
        <v>2</v>
      </c>
      <c r="U13">
        <v>30</v>
      </c>
      <c r="V13">
        <v>43</v>
      </c>
      <c r="W13">
        <v>43</v>
      </c>
      <c r="X13">
        <v>43</v>
      </c>
      <c r="Y13">
        <v>43</v>
      </c>
      <c r="Z13">
        <v>43</v>
      </c>
      <c r="AA13">
        <v>43</v>
      </c>
      <c r="AB13">
        <v>43</v>
      </c>
      <c r="AC13">
        <v>1</v>
      </c>
      <c r="AD13">
        <v>1</v>
      </c>
      <c r="AE13">
        <v>3</v>
      </c>
      <c r="AF13">
        <v>4</v>
      </c>
      <c r="AG13">
        <v>3</v>
      </c>
      <c r="AH13">
        <v>1</v>
      </c>
      <c r="AI13">
        <v>3</v>
      </c>
      <c r="AJ13">
        <v>1</v>
      </c>
      <c r="AK13">
        <v>5</v>
      </c>
      <c r="AL13">
        <v>1</v>
      </c>
      <c r="AM13" s="2" t="s">
        <v>103</v>
      </c>
    </row>
    <row r="14" spans="1:39" ht="43.5" x14ac:dyDescent="0.35">
      <c r="A14" s="1">
        <v>46200.258344907408</v>
      </c>
      <c r="B14" s="1">
        <v>46200.259282407409</v>
      </c>
      <c r="C14">
        <v>0</v>
      </c>
      <c r="D14" s="2" t="s">
        <v>104</v>
      </c>
      <c r="E14">
        <v>100</v>
      </c>
      <c r="F14">
        <v>80</v>
      </c>
      <c r="G14">
        <v>1</v>
      </c>
      <c r="H14" s="1">
        <v>46200.259296493059</v>
      </c>
      <c r="I14" s="2" t="s">
        <v>105</v>
      </c>
      <c r="J14" s="2" t="s">
        <v>75</v>
      </c>
      <c r="K14" s="2" t="s">
        <v>75</v>
      </c>
      <c r="L14" s="2" t="s">
        <v>75</v>
      </c>
      <c r="M14" s="2" t="s">
        <v>75</v>
      </c>
      <c r="N14">
        <v>40.310200000000002</v>
      </c>
      <c r="O14">
        <v>-76.038799999999995</v>
      </c>
      <c r="P14" s="2" t="s">
        <v>83</v>
      </c>
      <c r="Q14" s="2" t="s">
        <v>78</v>
      </c>
      <c r="R14">
        <v>1</v>
      </c>
      <c r="S14">
        <v>1</v>
      </c>
      <c r="T14">
        <v>43</v>
      </c>
      <c r="U14">
        <v>43</v>
      </c>
      <c r="V14">
        <v>43</v>
      </c>
      <c r="W14">
        <v>43</v>
      </c>
      <c r="X14">
        <v>30</v>
      </c>
      <c r="Y14">
        <v>43</v>
      </c>
      <c r="Z14">
        <v>43</v>
      </c>
      <c r="AA14">
        <v>2</v>
      </c>
      <c r="AB14">
        <v>43</v>
      </c>
      <c r="AC14">
        <v>4</v>
      </c>
      <c r="AD14">
        <v>4</v>
      </c>
      <c r="AE14">
        <v>4</v>
      </c>
      <c r="AF14">
        <v>4</v>
      </c>
      <c r="AG14">
        <v>4</v>
      </c>
      <c r="AH14">
        <v>3</v>
      </c>
      <c r="AI14">
        <v>10</v>
      </c>
      <c r="AJ14">
        <v>2</v>
      </c>
      <c r="AK14">
        <v>1</v>
      </c>
      <c r="AL14">
        <v>2</v>
      </c>
      <c r="AM14" s="2" t="s">
        <v>75</v>
      </c>
    </row>
    <row r="15" spans="1:39" ht="43.5" x14ac:dyDescent="0.35">
      <c r="A15" s="1">
        <v>46200.260520833333</v>
      </c>
      <c r="B15" s="1">
        <v>46200.261944444443</v>
      </c>
      <c r="C15">
        <v>0</v>
      </c>
      <c r="D15" s="2" t="s">
        <v>106</v>
      </c>
      <c r="E15">
        <v>100</v>
      </c>
      <c r="F15">
        <v>122</v>
      </c>
      <c r="G15">
        <v>1</v>
      </c>
      <c r="H15" s="1">
        <v>46200.261950763888</v>
      </c>
      <c r="I15" s="2" t="s">
        <v>107</v>
      </c>
      <c r="J15" s="2" t="s">
        <v>75</v>
      </c>
      <c r="K15" s="2" t="s">
        <v>75</v>
      </c>
      <c r="L15" s="2" t="s">
        <v>75</v>
      </c>
      <c r="M15" s="2" t="s">
        <v>75</v>
      </c>
      <c r="N15">
        <v>37.754800000000003</v>
      </c>
      <c r="O15">
        <v>-84.298500000000004</v>
      </c>
      <c r="P15" s="2" t="s">
        <v>83</v>
      </c>
      <c r="Q15" s="2" t="s">
        <v>78</v>
      </c>
      <c r="R15">
        <v>1</v>
      </c>
      <c r="S15">
        <v>1</v>
      </c>
      <c r="T15">
        <v>43</v>
      </c>
      <c r="U15">
        <v>43</v>
      </c>
      <c r="V15">
        <v>2</v>
      </c>
      <c r="W15">
        <v>30</v>
      </c>
      <c r="X15">
        <v>43</v>
      </c>
      <c r="Y15">
        <v>43</v>
      </c>
      <c r="Z15">
        <v>43</v>
      </c>
      <c r="AA15">
        <v>43</v>
      </c>
      <c r="AB15">
        <v>43</v>
      </c>
      <c r="AC15">
        <v>5</v>
      </c>
      <c r="AD15">
        <v>5</v>
      </c>
      <c r="AE15">
        <v>5</v>
      </c>
      <c r="AF15">
        <v>4</v>
      </c>
      <c r="AG15">
        <v>3</v>
      </c>
      <c r="AH15">
        <v>2</v>
      </c>
      <c r="AI15">
        <v>8</v>
      </c>
      <c r="AJ15">
        <v>2</v>
      </c>
      <c r="AK15">
        <v>4</v>
      </c>
      <c r="AL15">
        <v>1</v>
      </c>
      <c r="AM15" s="2" t="s">
        <v>75</v>
      </c>
    </row>
    <row r="16" spans="1:39" ht="43.5" x14ac:dyDescent="0.35">
      <c r="A16" s="1">
        <v>46200.26295138889</v>
      </c>
      <c r="B16" s="1">
        <v>46200.264930555553</v>
      </c>
      <c r="C16">
        <v>0</v>
      </c>
      <c r="D16" s="2" t="s">
        <v>108</v>
      </c>
      <c r="E16">
        <v>100</v>
      </c>
      <c r="F16">
        <v>170</v>
      </c>
      <c r="G16">
        <v>1</v>
      </c>
      <c r="H16" s="1">
        <v>46200.264943333335</v>
      </c>
      <c r="I16" s="2" t="s">
        <v>109</v>
      </c>
      <c r="J16" s="2" t="s">
        <v>75</v>
      </c>
      <c r="K16" s="2" t="s">
        <v>75</v>
      </c>
      <c r="L16" s="2" t="s">
        <v>75</v>
      </c>
      <c r="M16" s="2" t="s">
        <v>75</v>
      </c>
      <c r="N16">
        <v>41.5749</v>
      </c>
      <c r="O16">
        <v>-90.608699999999999</v>
      </c>
      <c r="P16" s="2" t="s">
        <v>83</v>
      </c>
      <c r="Q16" s="2" t="s">
        <v>78</v>
      </c>
      <c r="R16">
        <v>1</v>
      </c>
      <c r="S16">
        <v>1</v>
      </c>
      <c r="T16">
        <v>43</v>
      </c>
      <c r="U16">
        <v>2</v>
      </c>
      <c r="V16">
        <v>43</v>
      </c>
      <c r="W16">
        <v>30</v>
      </c>
      <c r="X16">
        <v>43</v>
      </c>
      <c r="Y16">
        <v>43</v>
      </c>
      <c r="Z16">
        <v>43</v>
      </c>
      <c r="AA16">
        <v>43</v>
      </c>
      <c r="AB16">
        <v>43</v>
      </c>
      <c r="AC16">
        <v>5</v>
      </c>
      <c r="AD16">
        <v>5</v>
      </c>
      <c r="AE16">
        <v>5</v>
      </c>
      <c r="AF16">
        <v>4</v>
      </c>
      <c r="AG16">
        <v>4</v>
      </c>
      <c r="AH16">
        <v>2</v>
      </c>
      <c r="AI16">
        <v>8</v>
      </c>
      <c r="AJ16">
        <v>1</v>
      </c>
      <c r="AK16">
        <v>2</v>
      </c>
      <c r="AL16">
        <v>2</v>
      </c>
      <c r="AM16" s="2" t="s">
        <v>75</v>
      </c>
    </row>
    <row r="17" spans="1:39" ht="409.5" x14ac:dyDescent="0.35">
      <c r="A17" s="1">
        <v>46200.263101851851</v>
      </c>
      <c r="B17" s="1">
        <v>46200.267175925925</v>
      </c>
      <c r="C17">
        <v>0</v>
      </c>
      <c r="D17" s="2" t="s">
        <v>110</v>
      </c>
      <c r="E17">
        <v>100</v>
      </c>
      <c r="F17">
        <v>351</v>
      </c>
      <c r="G17">
        <v>1</v>
      </c>
      <c r="H17" s="1">
        <v>46200.26718628472</v>
      </c>
      <c r="I17" s="2" t="s">
        <v>111</v>
      </c>
      <c r="J17" s="2" t="s">
        <v>75</v>
      </c>
      <c r="K17" s="2" t="s">
        <v>75</v>
      </c>
      <c r="L17" s="2" t="s">
        <v>75</v>
      </c>
      <c r="M17" s="2" t="s">
        <v>75</v>
      </c>
      <c r="N17">
        <v>39.626100000000001</v>
      </c>
      <c r="O17">
        <v>-119.6996</v>
      </c>
      <c r="P17" s="2" t="s">
        <v>83</v>
      </c>
      <c r="Q17" s="2" t="s">
        <v>78</v>
      </c>
      <c r="R17">
        <v>1</v>
      </c>
      <c r="S17">
        <v>30</v>
      </c>
      <c r="T17">
        <v>43</v>
      </c>
      <c r="U17">
        <v>43</v>
      </c>
      <c r="V17">
        <v>43</v>
      </c>
      <c r="W17">
        <v>1</v>
      </c>
      <c r="X17">
        <v>43</v>
      </c>
      <c r="Y17">
        <v>2</v>
      </c>
      <c r="Z17">
        <v>43</v>
      </c>
      <c r="AA17">
        <v>43</v>
      </c>
      <c r="AB17">
        <v>43</v>
      </c>
      <c r="AC17">
        <v>5</v>
      </c>
      <c r="AD17">
        <v>5</v>
      </c>
      <c r="AE17">
        <v>5</v>
      </c>
      <c r="AF17">
        <v>2</v>
      </c>
      <c r="AG17">
        <v>3</v>
      </c>
      <c r="AH17">
        <v>2</v>
      </c>
      <c r="AI17">
        <v>8</v>
      </c>
      <c r="AJ17">
        <v>2</v>
      </c>
      <c r="AK17">
        <v>4</v>
      </c>
      <c r="AL17">
        <v>1</v>
      </c>
      <c r="AM17" s="2" t="s">
        <v>112</v>
      </c>
    </row>
    <row r="18" spans="1:39" ht="43.5" x14ac:dyDescent="0.35">
      <c r="A18" s="1">
        <v>46200.265706018516</v>
      </c>
      <c r="B18" s="1">
        <v>46200.267476851855</v>
      </c>
      <c r="C18">
        <v>0</v>
      </c>
      <c r="D18" s="2" t="s">
        <v>113</v>
      </c>
      <c r="E18">
        <v>100</v>
      </c>
      <c r="F18">
        <v>152</v>
      </c>
      <c r="G18">
        <v>1</v>
      </c>
      <c r="H18" s="1">
        <v>46200.267484432872</v>
      </c>
      <c r="I18" s="2" t="s">
        <v>114</v>
      </c>
      <c r="J18" s="2" t="s">
        <v>75</v>
      </c>
      <c r="K18" s="2" t="s">
        <v>75</v>
      </c>
      <c r="L18" s="2" t="s">
        <v>75</v>
      </c>
      <c r="M18" s="2" t="s">
        <v>75</v>
      </c>
      <c r="N18">
        <v>42.273899999999998</v>
      </c>
      <c r="O18">
        <v>-89.047399999999996</v>
      </c>
      <c r="P18" s="2" t="s">
        <v>83</v>
      </c>
      <c r="Q18" s="2" t="s">
        <v>78</v>
      </c>
      <c r="R18">
        <v>2</v>
      </c>
      <c r="S18">
        <v>30</v>
      </c>
      <c r="T18">
        <v>1</v>
      </c>
      <c r="U18">
        <v>2</v>
      </c>
      <c r="V18">
        <v>43</v>
      </c>
      <c r="W18">
        <v>30</v>
      </c>
      <c r="X18">
        <v>43</v>
      </c>
      <c r="Y18">
        <v>43</v>
      </c>
      <c r="Z18">
        <v>43</v>
      </c>
      <c r="AA18">
        <v>43</v>
      </c>
      <c r="AB18">
        <v>43</v>
      </c>
      <c r="AC18">
        <v>4</v>
      </c>
      <c r="AD18">
        <v>4</v>
      </c>
      <c r="AE18">
        <v>3</v>
      </c>
      <c r="AF18">
        <v>3</v>
      </c>
      <c r="AG18">
        <v>3</v>
      </c>
      <c r="AH18">
        <v>2</v>
      </c>
      <c r="AI18">
        <v>7</v>
      </c>
      <c r="AJ18">
        <v>1</v>
      </c>
      <c r="AK18">
        <v>3</v>
      </c>
      <c r="AL18">
        <v>1</v>
      </c>
      <c r="AM18" s="2" t="s">
        <v>75</v>
      </c>
    </row>
    <row r="19" spans="1:39" ht="87" x14ac:dyDescent="0.35">
      <c r="A19" s="1">
        <v>46200.268252314818</v>
      </c>
      <c r="B19" s="1">
        <v>46200.269444444442</v>
      </c>
      <c r="C19">
        <v>0</v>
      </c>
      <c r="D19" s="2" t="s">
        <v>115</v>
      </c>
      <c r="E19">
        <v>100</v>
      </c>
      <c r="F19">
        <v>102</v>
      </c>
      <c r="G19">
        <v>1</v>
      </c>
      <c r="H19" s="1">
        <v>46200.269450891203</v>
      </c>
      <c r="I19" s="2" t="s">
        <v>116</v>
      </c>
      <c r="J19" s="2" t="s">
        <v>75</v>
      </c>
      <c r="K19" s="2" t="s">
        <v>75</v>
      </c>
      <c r="L19" s="2" t="s">
        <v>75</v>
      </c>
      <c r="M19" s="2" t="s">
        <v>75</v>
      </c>
      <c r="N19">
        <v>40.216299999999997</v>
      </c>
      <c r="O19">
        <v>-74.772400000000005</v>
      </c>
      <c r="P19" s="2" t="s">
        <v>83</v>
      </c>
      <c r="Q19" s="2" t="s">
        <v>78</v>
      </c>
      <c r="R19">
        <v>1</v>
      </c>
      <c r="S19">
        <v>1</v>
      </c>
      <c r="T19">
        <v>43</v>
      </c>
      <c r="U19">
        <v>2</v>
      </c>
      <c r="V19">
        <v>30</v>
      </c>
      <c r="W19">
        <v>43</v>
      </c>
      <c r="X19">
        <v>43</v>
      </c>
      <c r="Y19">
        <v>43</v>
      </c>
      <c r="Z19">
        <v>43</v>
      </c>
      <c r="AA19">
        <v>43</v>
      </c>
      <c r="AB19">
        <v>43</v>
      </c>
      <c r="AC19">
        <v>5</v>
      </c>
      <c r="AD19">
        <v>5</v>
      </c>
      <c r="AE19">
        <v>5</v>
      </c>
      <c r="AF19">
        <v>4</v>
      </c>
      <c r="AG19">
        <v>4</v>
      </c>
      <c r="AH19">
        <v>3</v>
      </c>
      <c r="AI19">
        <v>10</v>
      </c>
      <c r="AJ19">
        <v>2</v>
      </c>
      <c r="AK19">
        <v>2</v>
      </c>
      <c r="AL19">
        <v>2</v>
      </c>
      <c r="AM19" s="2" t="s">
        <v>117</v>
      </c>
    </row>
    <row r="20" spans="1:39" ht="87" x14ac:dyDescent="0.35">
      <c r="A20" s="1">
        <v>46200.277118055557</v>
      </c>
      <c r="B20" s="1">
        <v>46200.279583333337</v>
      </c>
      <c r="C20">
        <v>0</v>
      </c>
      <c r="D20" s="2" t="s">
        <v>118</v>
      </c>
      <c r="E20">
        <v>100</v>
      </c>
      <c r="F20">
        <v>212</v>
      </c>
      <c r="G20">
        <v>1</v>
      </c>
      <c r="H20" s="1">
        <v>46200.279594907406</v>
      </c>
      <c r="I20" s="2" t="s">
        <v>119</v>
      </c>
      <c r="J20" s="2" t="s">
        <v>75</v>
      </c>
      <c r="K20" s="2" t="s">
        <v>75</v>
      </c>
      <c r="L20" s="2" t="s">
        <v>75</v>
      </c>
      <c r="M20" s="2" t="s">
        <v>75</v>
      </c>
      <c r="N20">
        <v>35.242600000000003</v>
      </c>
      <c r="O20">
        <v>-80.741</v>
      </c>
      <c r="P20" s="2" t="s">
        <v>83</v>
      </c>
      <c r="Q20" s="2" t="s">
        <v>78</v>
      </c>
      <c r="R20">
        <v>1</v>
      </c>
      <c r="S20">
        <v>1</v>
      </c>
      <c r="T20">
        <v>43</v>
      </c>
      <c r="U20">
        <v>43</v>
      </c>
      <c r="V20">
        <v>43</v>
      </c>
      <c r="W20">
        <v>30</v>
      </c>
      <c r="X20">
        <v>43</v>
      </c>
      <c r="Y20">
        <v>43</v>
      </c>
      <c r="Z20">
        <v>2</v>
      </c>
      <c r="AA20">
        <v>43</v>
      </c>
      <c r="AB20">
        <v>43</v>
      </c>
      <c r="AC20">
        <v>5</v>
      </c>
      <c r="AD20">
        <v>5</v>
      </c>
      <c r="AE20">
        <v>5</v>
      </c>
      <c r="AF20">
        <v>5</v>
      </c>
      <c r="AG20">
        <v>5</v>
      </c>
      <c r="AH20">
        <v>3</v>
      </c>
      <c r="AI20">
        <v>10</v>
      </c>
      <c r="AJ20">
        <v>2</v>
      </c>
      <c r="AK20">
        <v>1</v>
      </c>
      <c r="AL20">
        <v>1</v>
      </c>
      <c r="AM20" s="2" t="s">
        <v>120</v>
      </c>
    </row>
    <row r="21" spans="1:39" ht="43.5" x14ac:dyDescent="0.35">
      <c r="A21" s="1">
        <v>46200.296585648146</v>
      </c>
      <c r="B21" s="1">
        <v>46200.297939814816</v>
      </c>
      <c r="C21">
        <v>0</v>
      </c>
      <c r="D21" s="2" t="s">
        <v>121</v>
      </c>
      <c r="E21">
        <v>100</v>
      </c>
      <c r="F21">
        <v>117</v>
      </c>
      <c r="G21">
        <v>1</v>
      </c>
      <c r="H21" s="1">
        <v>46200.297951099536</v>
      </c>
      <c r="I21" s="2" t="s">
        <v>122</v>
      </c>
      <c r="J21" s="2" t="s">
        <v>75</v>
      </c>
      <c r="K21" s="2" t="s">
        <v>75</v>
      </c>
      <c r="L21" s="2" t="s">
        <v>75</v>
      </c>
      <c r="M21" s="2" t="s">
        <v>75</v>
      </c>
      <c r="N21">
        <v>39.9587</v>
      </c>
      <c r="O21">
        <v>-82.998699999999999</v>
      </c>
      <c r="P21" s="2" t="s">
        <v>83</v>
      </c>
      <c r="Q21" s="2" t="s">
        <v>78</v>
      </c>
      <c r="R21">
        <v>1</v>
      </c>
      <c r="S21">
        <v>1</v>
      </c>
      <c r="T21">
        <v>30</v>
      </c>
      <c r="U21">
        <v>2</v>
      </c>
      <c r="V21">
        <v>43</v>
      </c>
      <c r="W21">
        <v>43</v>
      </c>
      <c r="X21">
        <v>43</v>
      </c>
      <c r="Y21">
        <v>43</v>
      </c>
      <c r="Z21">
        <v>43</v>
      </c>
      <c r="AA21">
        <v>43</v>
      </c>
      <c r="AB21">
        <v>43</v>
      </c>
      <c r="AC21">
        <v>4</v>
      </c>
      <c r="AD21">
        <v>4</v>
      </c>
      <c r="AE21">
        <v>4</v>
      </c>
      <c r="AF21">
        <v>3</v>
      </c>
      <c r="AG21">
        <v>4</v>
      </c>
      <c r="AH21">
        <v>2</v>
      </c>
      <c r="AI21">
        <v>7</v>
      </c>
      <c r="AJ21">
        <v>1</v>
      </c>
      <c r="AK21">
        <v>2</v>
      </c>
      <c r="AL21">
        <v>1</v>
      </c>
      <c r="AM21" s="2" t="s">
        <v>75</v>
      </c>
    </row>
    <row r="22" spans="1:39" ht="43.5" x14ac:dyDescent="0.35">
      <c r="A22" s="1">
        <v>46200.302766203706</v>
      </c>
      <c r="B22" s="1">
        <v>46200.303900462961</v>
      </c>
      <c r="C22">
        <v>0</v>
      </c>
      <c r="D22" s="2" t="s">
        <v>123</v>
      </c>
      <c r="E22">
        <v>100</v>
      </c>
      <c r="F22">
        <v>98</v>
      </c>
      <c r="G22">
        <v>1</v>
      </c>
      <c r="H22" s="1">
        <v>46200.303913229167</v>
      </c>
      <c r="I22" s="2" t="s">
        <v>124</v>
      </c>
      <c r="J22" s="2" t="s">
        <v>75</v>
      </c>
      <c r="K22" s="2" t="s">
        <v>75</v>
      </c>
      <c r="L22" s="2" t="s">
        <v>75</v>
      </c>
      <c r="M22" s="2" t="s">
        <v>75</v>
      </c>
      <c r="N22">
        <v>41.850200000000001</v>
      </c>
      <c r="O22">
        <v>-87.673599999999993</v>
      </c>
      <c r="P22" s="2" t="s">
        <v>83</v>
      </c>
      <c r="Q22" s="2" t="s">
        <v>78</v>
      </c>
      <c r="R22">
        <v>1</v>
      </c>
      <c r="S22">
        <v>2</v>
      </c>
      <c r="T22">
        <v>30</v>
      </c>
      <c r="U22">
        <v>43</v>
      </c>
      <c r="V22">
        <v>43</v>
      </c>
      <c r="W22">
        <v>43</v>
      </c>
      <c r="X22">
        <v>43</v>
      </c>
      <c r="Y22">
        <v>43</v>
      </c>
      <c r="Z22">
        <v>43</v>
      </c>
      <c r="AA22">
        <v>1</v>
      </c>
      <c r="AB22">
        <v>43</v>
      </c>
      <c r="AC22">
        <v>5</v>
      </c>
      <c r="AD22">
        <v>4</v>
      </c>
      <c r="AE22">
        <v>4</v>
      </c>
      <c r="AF22">
        <v>2</v>
      </c>
      <c r="AG22">
        <v>4</v>
      </c>
      <c r="AH22">
        <v>3</v>
      </c>
      <c r="AI22">
        <v>9</v>
      </c>
      <c r="AJ22">
        <v>1</v>
      </c>
      <c r="AK22">
        <v>4</v>
      </c>
      <c r="AL22">
        <v>1</v>
      </c>
      <c r="AM22" s="2" t="s">
        <v>125</v>
      </c>
    </row>
    <row r="23" spans="1:39" ht="43.5" x14ac:dyDescent="0.35">
      <c r="A23" s="1">
        <v>46200.316122685188</v>
      </c>
      <c r="B23" s="1">
        <v>46200.317673611113</v>
      </c>
      <c r="C23">
        <v>0</v>
      </c>
      <c r="D23" s="2" t="s">
        <v>126</v>
      </c>
      <c r="E23">
        <v>100</v>
      </c>
      <c r="F23">
        <v>133</v>
      </c>
      <c r="G23">
        <v>1</v>
      </c>
      <c r="H23" s="1">
        <v>46200.31768039352</v>
      </c>
      <c r="I23" s="2" t="s">
        <v>127</v>
      </c>
      <c r="J23" s="2" t="s">
        <v>75</v>
      </c>
      <c r="K23" s="2" t="s">
        <v>75</v>
      </c>
      <c r="L23" s="2" t="s">
        <v>75</v>
      </c>
      <c r="M23" s="2" t="s">
        <v>75</v>
      </c>
      <c r="N23">
        <v>42.995800000000003</v>
      </c>
      <c r="O23">
        <v>-89.549899999999994</v>
      </c>
      <c r="P23" s="2" t="s">
        <v>83</v>
      </c>
      <c r="Q23" s="2" t="s">
        <v>78</v>
      </c>
      <c r="R23">
        <v>1</v>
      </c>
      <c r="S23">
        <v>43</v>
      </c>
      <c r="T23">
        <v>43</v>
      </c>
      <c r="U23">
        <v>43</v>
      </c>
      <c r="V23">
        <v>1</v>
      </c>
      <c r="W23">
        <v>43</v>
      </c>
      <c r="X23">
        <v>30</v>
      </c>
      <c r="Y23">
        <v>43</v>
      </c>
      <c r="Z23">
        <v>2</v>
      </c>
      <c r="AA23">
        <v>43</v>
      </c>
      <c r="AB23">
        <v>43</v>
      </c>
      <c r="AC23">
        <v>5</v>
      </c>
      <c r="AD23">
        <v>4</v>
      </c>
      <c r="AE23">
        <v>3</v>
      </c>
      <c r="AF23">
        <v>4</v>
      </c>
      <c r="AG23">
        <v>2</v>
      </c>
      <c r="AH23">
        <v>1</v>
      </c>
      <c r="AI23">
        <v>6</v>
      </c>
      <c r="AJ23">
        <v>2</v>
      </c>
      <c r="AK23">
        <v>5</v>
      </c>
      <c r="AL23">
        <v>1</v>
      </c>
      <c r="AM23" s="2" t="s">
        <v>128</v>
      </c>
    </row>
    <row r="24" spans="1:39" ht="72.5" x14ac:dyDescent="0.35">
      <c r="A24" s="1">
        <v>46200.321111111109</v>
      </c>
      <c r="B24" s="1">
        <v>46200.323935185188</v>
      </c>
      <c r="C24">
        <v>0</v>
      </c>
      <c r="D24" s="2" t="s">
        <v>129</v>
      </c>
      <c r="E24">
        <v>100</v>
      </c>
      <c r="F24">
        <v>243</v>
      </c>
      <c r="G24">
        <v>1</v>
      </c>
      <c r="H24" s="1">
        <v>46200.323942962961</v>
      </c>
      <c r="I24" s="2" t="s">
        <v>130</v>
      </c>
      <c r="J24" s="2" t="s">
        <v>75</v>
      </c>
      <c r="K24" s="2" t="s">
        <v>75</v>
      </c>
      <c r="L24" s="2" t="s">
        <v>75</v>
      </c>
      <c r="M24" s="2" t="s">
        <v>75</v>
      </c>
      <c r="N24">
        <v>33.93</v>
      </c>
      <c r="O24">
        <v>-117.9477</v>
      </c>
      <c r="P24" s="2" t="s">
        <v>83</v>
      </c>
      <c r="Q24" s="2" t="s">
        <v>78</v>
      </c>
      <c r="R24">
        <v>1</v>
      </c>
      <c r="S24">
        <v>2</v>
      </c>
      <c r="T24" s="2" t="s">
        <v>75</v>
      </c>
      <c r="U24" s="2" t="s">
        <v>75</v>
      </c>
      <c r="V24" s="2" t="s">
        <v>75</v>
      </c>
      <c r="W24">
        <v>1</v>
      </c>
      <c r="X24">
        <v>43</v>
      </c>
      <c r="Y24">
        <v>30</v>
      </c>
      <c r="Z24">
        <v>43</v>
      </c>
      <c r="AA24" s="2" t="s">
        <v>75</v>
      </c>
      <c r="AB24" s="2" t="s">
        <v>75</v>
      </c>
      <c r="AC24">
        <v>5</v>
      </c>
      <c r="AD24">
        <v>4</v>
      </c>
      <c r="AE24">
        <v>4</v>
      </c>
      <c r="AF24">
        <v>4</v>
      </c>
      <c r="AG24">
        <v>3</v>
      </c>
      <c r="AH24">
        <v>3</v>
      </c>
      <c r="AI24">
        <v>9</v>
      </c>
      <c r="AJ24">
        <v>2</v>
      </c>
      <c r="AK24">
        <v>2</v>
      </c>
      <c r="AL24">
        <v>2</v>
      </c>
      <c r="AM24" s="2" t="s">
        <v>131</v>
      </c>
    </row>
    <row r="25" spans="1:39" ht="87" x14ac:dyDescent="0.35">
      <c r="A25" s="1">
        <v>46200.329479166663</v>
      </c>
      <c r="B25" s="1">
        <v>46200.331099537034</v>
      </c>
      <c r="C25">
        <v>0</v>
      </c>
      <c r="D25" s="2" t="s">
        <v>132</v>
      </c>
      <c r="E25">
        <v>100</v>
      </c>
      <c r="F25">
        <v>139</v>
      </c>
      <c r="G25">
        <v>1</v>
      </c>
      <c r="H25" s="1">
        <v>46200.33110614583</v>
      </c>
      <c r="I25" s="2" t="s">
        <v>133</v>
      </c>
      <c r="J25" s="2" t="s">
        <v>75</v>
      </c>
      <c r="K25" s="2" t="s">
        <v>75</v>
      </c>
      <c r="L25" s="2" t="s">
        <v>75</v>
      </c>
      <c r="M25" s="2" t="s">
        <v>75</v>
      </c>
      <c r="N25">
        <v>36.180500000000002</v>
      </c>
      <c r="O25">
        <v>-94.5304</v>
      </c>
      <c r="P25" s="2" t="s">
        <v>83</v>
      </c>
      <c r="Q25" s="2" t="s">
        <v>78</v>
      </c>
      <c r="R25">
        <v>1</v>
      </c>
      <c r="S25">
        <v>30</v>
      </c>
      <c r="T25">
        <v>43</v>
      </c>
      <c r="U25">
        <v>1</v>
      </c>
      <c r="V25">
        <v>43</v>
      </c>
      <c r="W25">
        <v>43</v>
      </c>
      <c r="X25">
        <v>2</v>
      </c>
      <c r="Y25">
        <v>43</v>
      </c>
      <c r="Z25">
        <v>43</v>
      </c>
      <c r="AA25">
        <v>43</v>
      </c>
      <c r="AB25">
        <v>43</v>
      </c>
      <c r="AC25">
        <v>5</v>
      </c>
      <c r="AD25">
        <v>5</v>
      </c>
      <c r="AE25">
        <v>5</v>
      </c>
      <c r="AF25">
        <v>3</v>
      </c>
      <c r="AG25">
        <v>5</v>
      </c>
      <c r="AH25">
        <v>3</v>
      </c>
      <c r="AI25">
        <v>10</v>
      </c>
      <c r="AJ25">
        <v>1</v>
      </c>
      <c r="AK25">
        <v>5</v>
      </c>
      <c r="AL25">
        <v>1</v>
      </c>
      <c r="AM25" s="2" t="s">
        <v>134</v>
      </c>
    </row>
    <row r="26" spans="1:39" ht="29" x14ac:dyDescent="0.35">
      <c r="A26" s="1">
        <v>46200.351793981485</v>
      </c>
      <c r="B26" s="1">
        <v>46200.354525462964</v>
      </c>
      <c r="C26">
        <v>0</v>
      </c>
      <c r="D26" s="2" t="s">
        <v>135</v>
      </c>
      <c r="E26">
        <v>100</v>
      </c>
      <c r="F26">
        <v>235</v>
      </c>
      <c r="G26">
        <v>1</v>
      </c>
      <c r="H26" s="1">
        <v>46200.354537893516</v>
      </c>
      <c r="I26" s="2" t="s">
        <v>136</v>
      </c>
      <c r="J26" s="2" t="s">
        <v>75</v>
      </c>
      <c r="K26" s="2" t="s">
        <v>75</v>
      </c>
      <c r="L26" s="2" t="s">
        <v>75</v>
      </c>
      <c r="M26" s="2" t="s">
        <v>75</v>
      </c>
      <c r="N26">
        <v>34.058700000000002</v>
      </c>
      <c r="O26">
        <v>-118.27809999999999</v>
      </c>
      <c r="P26" s="2" t="s">
        <v>83</v>
      </c>
      <c r="Q26" s="2" t="s">
        <v>78</v>
      </c>
      <c r="R26">
        <v>1</v>
      </c>
      <c r="S26">
        <v>30</v>
      </c>
      <c r="T26">
        <v>43</v>
      </c>
      <c r="U26">
        <v>43</v>
      </c>
      <c r="V26">
        <v>43</v>
      </c>
      <c r="W26">
        <v>2</v>
      </c>
      <c r="X26">
        <v>43</v>
      </c>
      <c r="Y26">
        <v>43</v>
      </c>
      <c r="Z26">
        <v>43</v>
      </c>
      <c r="AA26">
        <v>1</v>
      </c>
      <c r="AB26">
        <v>43</v>
      </c>
      <c r="AC26">
        <v>5</v>
      </c>
      <c r="AD26">
        <v>5</v>
      </c>
      <c r="AE26">
        <v>5</v>
      </c>
      <c r="AF26">
        <v>5</v>
      </c>
      <c r="AG26">
        <v>5</v>
      </c>
      <c r="AH26">
        <v>3</v>
      </c>
      <c r="AI26">
        <v>10</v>
      </c>
      <c r="AJ26">
        <v>1</v>
      </c>
      <c r="AK26">
        <v>2</v>
      </c>
      <c r="AL26">
        <v>2</v>
      </c>
      <c r="AM26" s="2" t="s">
        <v>75</v>
      </c>
    </row>
    <row r="27" spans="1:39" ht="43.5" x14ac:dyDescent="0.35">
      <c r="A27" s="1">
        <v>46200.356979166667</v>
      </c>
      <c r="B27" s="1">
        <v>46200.358680555553</v>
      </c>
      <c r="C27">
        <v>0</v>
      </c>
      <c r="D27" s="2" t="s">
        <v>137</v>
      </c>
      <c r="E27">
        <v>100</v>
      </c>
      <c r="F27">
        <v>146</v>
      </c>
      <c r="G27">
        <v>1</v>
      </c>
      <c r="H27" s="1">
        <v>46200.35869458333</v>
      </c>
      <c r="I27" s="2" t="s">
        <v>138</v>
      </c>
      <c r="J27" s="2" t="s">
        <v>75</v>
      </c>
      <c r="K27" s="2" t="s">
        <v>75</v>
      </c>
      <c r="L27" s="2" t="s">
        <v>75</v>
      </c>
      <c r="M27" s="2" t="s">
        <v>75</v>
      </c>
      <c r="N27">
        <v>40.1586</v>
      </c>
      <c r="O27">
        <v>-75.281999999999996</v>
      </c>
      <c r="P27" s="2" t="s">
        <v>83</v>
      </c>
      <c r="Q27" s="2" t="s">
        <v>78</v>
      </c>
      <c r="R27">
        <v>1</v>
      </c>
      <c r="S27">
        <v>1</v>
      </c>
      <c r="T27">
        <v>30</v>
      </c>
      <c r="U27">
        <v>43</v>
      </c>
      <c r="V27">
        <v>43</v>
      </c>
      <c r="W27">
        <v>2</v>
      </c>
      <c r="X27">
        <v>43</v>
      </c>
      <c r="Y27">
        <v>43</v>
      </c>
      <c r="Z27">
        <v>43</v>
      </c>
      <c r="AA27">
        <v>43</v>
      </c>
      <c r="AB27">
        <v>43</v>
      </c>
      <c r="AC27">
        <v>5</v>
      </c>
      <c r="AD27">
        <v>4</v>
      </c>
      <c r="AE27">
        <v>4</v>
      </c>
      <c r="AF27">
        <v>3</v>
      </c>
      <c r="AG27">
        <v>3</v>
      </c>
      <c r="AH27">
        <v>2</v>
      </c>
      <c r="AI27">
        <v>8</v>
      </c>
      <c r="AJ27">
        <v>2</v>
      </c>
      <c r="AK27">
        <v>4</v>
      </c>
      <c r="AL27">
        <v>1</v>
      </c>
      <c r="AM27" s="2" t="s">
        <v>139</v>
      </c>
    </row>
    <row r="28" spans="1:39" ht="58" x14ac:dyDescent="0.35">
      <c r="A28" s="1">
        <v>46200.382303240738</v>
      </c>
      <c r="B28" s="1">
        <v>46200.383599537039</v>
      </c>
      <c r="C28">
        <v>0</v>
      </c>
      <c r="D28" s="2" t="s">
        <v>140</v>
      </c>
      <c r="E28">
        <v>100</v>
      </c>
      <c r="F28">
        <v>112</v>
      </c>
      <c r="G28">
        <v>1</v>
      </c>
      <c r="H28" s="1">
        <v>46200.38361759259</v>
      </c>
      <c r="I28" s="2" t="s">
        <v>141</v>
      </c>
      <c r="J28" s="2" t="s">
        <v>75</v>
      </c>
      <c r="K28" s="2" t="s">
        <v>75</v>
      </c>
      <c r="L28" s="2" t="s">
        <v>75</v>
      </c>
      <c r="M28" s="2" t="s">
        <v>75</v>
      </c>
      <c r="N28">
        <v>29.7026</v>
      </c>
      <c r="O28">
        <v>-98.475899999999996</v>
      </c>
      <c r="P28" s="2" t="s">
        <v>83</v>
      </c>
      <c r="Q28" s="2" t="s">
        <v>78</v>
      </c>
      <c r="R28">
        <v>1</v>
      </c>
      <c r="S28">
        <v>1</v>
      </c>
      <c r="T28">
        <v>2</v>
      </c>
      <c r="U28">
        <v>30</v>
      </c>
      <c r="V28">
        <v>43</v>
      </c>
      <c r="W28">
        <v>43</v>
      </c>
      <c r="X28" s="2" t="s">
        <v>75</v>
      </c>
      <c r="Y28" s="2" t="s">
        <v>75</v>
      </c>
      <c r="Z28">
        <v>43</v>
      </c>
      <c r="AA28" s="2" t="s">
        <v>75</v>
      </c>
      <c r="AB28" s="2" t="s">
        <v>75</v>
      </c>
      <c r="AC28">
        <v>5</v>
      </c>
      <c r="AD28">
        <v>4</v>
      </c>
      <c r="AE28">
        <v>4</v>
      </c>
      <c r="AF28">
        <v>2</v>
      </c>
      <c r="AG28">
        <v>3</v>
      </c>
      <c r="AH28">
        <v>2</v>
      </c>
      <c r="AI28">
        <v>7</v>
      </c>
      <c r="AJ28">
        <v>1</v>
      </c>
      <c r="AK28">
        <v>1</v>
      </c>
      <c r="AL28">
        <v>2</v>
      </c>
      <c r="AM28" s="2" t="s">
        <v>142</v>
      </c>
    </row>
    <row r="29" spans="1:39" ht="43.5" x14ac:dyDescent="0.35">
      <c r="A29" s="1">
        <v>46200.419456018521</v>
      </c>
      <c r="B29" s="1">
        <v>46200.420567129629</v>
      </c>
      <c r="C29">
        <v>0</v>
      </c>
      <c r="D29" s="2" t="s">
        <v>143</v>
      </c>
      <c r="E29">
        <v>100</v>
      </c>
      <c r="F29">
        <v>95</v>
      </c>
      <c r="G29">
        <v>1</v>
      </c>
      <c r="H29" s="1">
        <v>46200.42057425926</v>
      </c>
      <c r="I29" s="2" t="s">
        <v>144</v>
      </c>
      <c r="J29" s="2" t="s">
        <v>75</v>
      </c>
      <c r="K29" s="2" t="s">
        <v>75</v>
      </c>
      <c r="L29" s="2" t="s">
        <v>75</v>
      </c>
      <c r="M29" s="2" t="s">
        <v>75</v>
      </c>
      <c r="N29">
        <v>33.468299999999999</v>
      </c>
      <c r="O29">
        <v>-112.0549</v>
      </c>
      <c r="P29" s="2" t="s">
        <v>83</v>
      </c>
      <c r="Q29" s="2" t="s">
        <v>78</v>
      </c>
      <c r="R29">
        <v>1</v>
      </c>
      <c r="S29">
        <v>1</v>
      </c>
      <c r="T29">
        <v>2</v>
      </c>
      <c r="U29">
        <v>43</v>
      </c>
      <c r="V29">
        <v>43</v>
      </c>
      <c r="W29">
        <v>30</v>
      </c>
      <c r="X29">
        <v>43</v>
      </c>
      <c r="Y29">
        <v>43</v>
      </c>
      <c r="Z29">
        <v>43</v>
      </c>
      <c r="AA29">
        <v>43</v>
      </c>
      <c r="AB29">
        <v>43</v>
      </c>
      <c r="AC29">
        <v>5</v>
      </c>
      <c r="AD29">
        <v>4</v>
      </c>
      <c r="AE29">
        <v>4</v>
      </c>
      <c r="AF29">
        <v>3</v>
      </c>
      <c r="AG29">
        <v>3</v>
      </c>
      <c r="AH29">
        <v>2</v>
      </c>
      <c r="AI29">
        <v>7</v>
      </c>
      <c r="AJ29">
        <v>1</v>
      </c>
      <c r="AK29">
        <v>3</v>
      </c>
      <c r="AL29">
        <v>1</v>
      </c>
      <c r="AM29" s="2" t="s">
        <v>75</v>
      </c>
    </row>
    <row r="30" spans="1:39" ht="43.5" x14ac:dyDescent="0.35">
      <c r="A30" s="1">
        <v>46200.454305555555</v>
      </c>
      <c r="B30" s="1">
        <v>46200.45653935185</v>
      </c>
      <c r="C30">
        <v>0</v>
      </c>
      <c r="D30" s="2" t="s">
        <v>145</v>
      </c>
      <c r="E30">
        <v>100</v>
      </c>
      <c r="F30">
        <v>193</v>
      </c>
      <c r="G30">
        <v>1</v>
      </c>
      <c r="H30" s="1">
        <v>46200.456554745368</v>
      </c>
      <c r="I30" s="2" t="s">
        <v>146</v>
      </c>
      <c r="J30" s="2" t="s">
        <v>75</v>
      </c>
      <c r="K30" s="2" t="s">
        <v>75</v>
      </c>
      <c r="L30" s="2" t="s">
        <v>75</v>
      </c>
      <c r="M30" s="2" t="s">
        <v>75</v>
      </c>
      <c r="N30">
        <v>41.923000000000002</v>
      </c>
      <c r="O30">
        <v>-87.753100000000003</v>
      </c>
      <c r="P30" s="2" t="s">
        <v>83</v>
      </c>
      <c r="Q30" s="2" t="s">
        <v>78</v>
      </c>
      <c r="R30">
        <v>3</v>
      </c>
      <c r="S30">
        <v>43</v>
      </c>
      <c r="T30">
        <v>43</v>
      </c>
      <c r="U30">
        <v>43</v>
      </c>
      <c r="V30">
        <v>43</v>
      </c>
      <c r="W30">
        <v>2</v>
      </c>
      <c r="X30">
        <v>1</v>
      </c>
      <c r="Y30">
        <v>30</v>
      </c>
      <c r="Z30">
        <v>43</v>
      </c>
      <c r="AA30">
        <v>43</v>
      </c>
      <c r="AB30">
        <v>43</v>
      </c>
      <c r="AC30">
        <v>4</v>
      </c>
      <c r="AD30">
        <v>4</v>
      </c>
      <c r="AE30">
        <v>4</v>
      </c>
      <c r="AF30">
        <v>2</v>
      </c>
      <c r="AG30">
        <v>4</v>
      </c>
      <c r="AH30">
        <v>2</v>
      </c>
      <c r="AI30">
        <v>7</v>
      </c>
      <c r="AJ30">
        <v>2</v>
      </c>
      <c r="AK30">
        <v>2</v>
      </c>
      <c r="AL30">
        <v>2</v>
      </c>
      <c r="AM30" s="2" t="s">
        <v>75</v>
      </c>
    </row>
    <row r="31" spans="1:39" ht="58" x14ac:dyDescent="0.35">
      <c r="A31" s="1">
        <v>46200.45890046296</v>
      </c>
      <c r="B31" s="1">
        <v>46200.460324074076</v>
      </c>
      <c r="C31">
        <v>0</v>
      </c>
      <c r="D31" s="2" t="s">
        <v>147</v>
      </c>
      <c r="E31">
        <v>100</v>
      </c>
      <c r="F31">
        <v>122</v>
      </c>
      <c r="G31">
        <v>1</v>
      </c>
      <c r="H31" s="1">
        <v>46200.460338564815</v>
      </c>
      <c r="I31" s="2" t="s">
        <v>148</v>
      </c>
      <c r="J31" s="2" t="s">
        <v>75</v>
      </c>
      <c r="K31" s="2" t="s">
        <v>75</v>
      </c>
      <c r="L31" s="2" t="s">
        <v>75</v>
      </c>
      <c r="M31" s="2" t="s">
        <v>75</v>
      </c>
      <c r="N31">
        <v>36.0154</v>
      </c>
      <c r="O31">
        <v>-83.414900000000003</v>
      </c>
      <c r="P31" s="2" t="s">
        <v>83</v>
      </c>
      <c r="Q31" s="2" t="s">
        <v>78</v>
      </c>
      <c r="R31">
        <v>1</v>
      </c>
      <c r="S31">
        <v>1</v>
      </c>
      <c r="T31">
        <v>2</v>
      </c>
      <c r="U31">
        <v>30</v>
      </c>
      <c r="V31">
        <v>43</v>
      </c>
      <c r="W31">
        <v>43</v>
      </c>
      <c r="X31">
        <v>43</v>
      </c>
      <c r="Y31">
        <v>43</v>
      </c>
      <c r="Z31">
        <v>43</v>
      </c>
      <c r="AA31">
        <v>43</v>
      </c>
      <c r="AB31">
        <v>43</v>
      </c>
      <c r="AC31">
        <v>5</v>
      </c>
      <c r="AD31">
        <v>5</v>
      </c>
      <c r="AE31">
        <v>5</v>
      </c>
      <c r="AF31">
        <v>3</v>
      </c>
      <c r="AG31">
        <v>4</v>
      </c>
      <c r="AH31">
        <v>2</v>
      </c>
      <c r="AI31">
        <v>7</v>
      </c>
      <c r="AJ31">
        <v>1</v>
      </c>
      <c r="AK31">
        <v>3</v>
      </c>
      <c r="AL31">
        <v>1</v>
      </c>
      <c r="AM31" s="2" t="s">
        <v>149</v>
      </c>
    </row>
    <row r="32" spans="1:39" ht="43.5" x14ac:dyDescent="0.35">
      <c r="A32" s="1">
        <v>46200.506990740738</v>
      </c>
      <c r="B32" s="1">
        <v>46200.51153935185</v>
      </c>
      <c r="C32">
        <v>0</v>
      </c>
      <c r="D32" s="2" t="s">
        <v>129</v>
      </c>
      <c r="E32">
        <v>100</v>
      </c>
      <c r="F32">
        <v>393</v>
      </c>
      <c r="G32">
        <v>1</v>
      </c>
      <c r="H32" s="1">
        <v>46200.511547453701</v>
      </c>
      <c r="I32" s="2" t="s">
        <v>150</v>
      </c>
      <c r="J32" s="2" t="s">
        <v>75</v>
      </c>
      <c r="K32" s="2" t="s">
        <v>75</v>
      </c>
      <c r="L32" s="2" t="s">
        <v>75</v>
      </c>
      <c r="M32" s="2" t="s">
        <v>75</v>
      </c>
      <c r="N32">
        <v>33.93</v>
      </c>
      <c r="O32">
        <v>-117.9477</v>
      </c>
      <c r="P32" s="2" t="s">
        <v>83</v>
      </c>
      <c r="Q32" s="2" t="s">
        <v>78</v>
      </c>
      <c r="R32">
        <v>2</v>
      </c>
      <c r="S32">
        <v>30</v>
      </c>
      <c r="T32">
        <v>43</v>
      </c>
      <c r="U32">
        <v>43</v>
      </c>
      <c r="V32">
        <v>43</v>
      </c>
      <c r="W32">
        <v>1</v>
      </c>
      <c r="X32">
        <v>43</v>
      </c>
      <c r="Y32">
        <v>2</v>
      </c>
      <c r="Z32">
        <v>43</v>
      </c>
      <c r="AA32">
        <v>43</v>
      </c>
      <c r="AB32">
        <v>43</v>
      </c>
      <c r="AC32">
        <v>1</v>
      </c>
      <c r="AD32">
        <v>1</v>
      </c>
      <c r="AE32">
        <v>1</v>
      </c>
      <c r="AF32">
        <v>1</v>
      </c>
      <c r="AG32">
        <v>1</v>
      </c>
      <c r="AH32">
        <v>3</v>
      </c>
      <c r="AI32">
        <v>10</v>
      </c>
      <c r="AJ32">
        <v>1</v>
      </c>
      <c r="AK32">
        <v>3</v>
      </c>
      <c r="AL32">
        <v>2</v>
      </c>
      <c r="AM32" s="2" t="s">
        <v>75</v>
      </c>
    </row>
    <row r="33" spans="1:39" ht="29" x14ac:dyDescent="0.35">
      <c r="A33" s="1">
        <v>46200.509895833333</v>
      </c>
      <c r="B33" s="1">
        <v>46200.512118055558</v>
      </c>
      <c r="C33">
        <v>0</v>
      </c>
      <c r="D33" s="2" t="s">
        <v>151</v>
      </c>
      <c r="E33">
        <v>100</v>
      </c>
      <c r="F33">
        <v>192</v>
      </c>
      <c r="G33">
        <v>1</v>
      </c>
      <c r="H33" s="1">
        <v>46200.512126921298</v>
      </c>
      <c r="I33" s="2" t="s">
        <v>152</v>
      </c>
      <c r="J33" s="2" t="s">
        <v>75</v>
      </c>
      <c r="K33" s="2" t="s">
        <v>75</v>
      </c>
      <c r="L33" s="2" t="s">
        <v>75</v>
      </c>
      <c r="M33" s="2" t="s">
        <v>75</v>
      </c>
      <c r="N33">
        <v>40.059800000000003</v>
      </c>
      <c r="O33">
        <v>-75.144800000000004</v>
      </c>
      <c r="P33" s="2" t="s">
        <v>83</v>
      </c>
      <c r="Q33" s="2" t="s">
        <v>78</v>
      </c>
      <c r="R33">
        <v>1</v>
      </c>
      <c r="S33">
        <v>43</v>
      </c>
      <c r="T33">
        <v>43</v>
      </c>
      <c r="U33">
        <v>43</v>
      </c>
      <c r="V33">
        <v>1</v>
      </c>
      <c r="W33">
        <v>2</v>
      </c>
      <c r="X33">
        <v>43</v>
      </c>
      <c r="Y33">
        <v>1</v>
      </c>
      <c r="Z33">
        <v>43</v>
      </c>
      <c r="AA33">
        <v>43</v>
      </c>
      <c r="AB33">
        <v>43</v>
      </c>
      <c r="AC33">
        <v>5</v>
      </c>
      <c r="AD33">
        <v>5</v>
      </c>
      <c r="AE33">
        <v>5</v>
      </c>
      <c r="AF33">
        <v>3</v>
      </c>
      <c r="AG33">
        <v>5</v>
      </c>
      <c r="AH33">
        <v>3</v>
      </c>
      <c r="AI33">
        <v>10</v>
      </c>
      <c r="AJ33">
        <v>1</v>
      </c>
      <c r="AK33">
        <v>3</v>
      </c>
      <c r="AL33">
        <v>2</v>
      </c>
      <c r="AM33" s="2" t="s">
        <v>75</v>
      </c>
    </row>
    <row r="34" spans="1:39" ht="87" x14ac:dyDescent="0.35">
      <c r="A34" s="1">
        <v>46200.516759259262</v>
      </c>
      <c r="B34" s="1">
        <v>46200.518206018518</v>
      </c>
      <c r="C34">
        <v>0</v>
      </c>
      <c r="D34" s="2" t="s">
        <v>153</v>
      </c>
      <c r="E34">
        <v>100</v>
      </c>
      <c r="F34">
        <v>124</v>
      </c>
      <c r="G34">
        <v>1</v>
      </c>
      <c r="H34" s="1">
        <v>46200.518218206016</v>
      </c>
      <c r="I34" s="2" t="s">
        <v>154</v>
      </c>
      <c r="J34" s="2" t="s">
        <v>75</v>
      </c>
      <c r="K34" s="2" t="s">
        <v>75</v>
      </c>
      <c r="L34" s="2" t="s">
        <v>75</v>
      </c>
      <c r="M34" s="2" t="s">
        <v>75</v>
      </c>
      <c r="N34">
        <v>41.494300000000003</v>
      </c>
      <c r="O34">
        <v>-90.500100000000003</v>
      </c>
      <c r="P34" s="2" t="s">
        <v>83</v>
      </c>
      <c r="Q34" s="2" t="s">
        <v>78</v>
      </c>
      <c r="R34">
        <v>1</v>
      </c>
      <c r="S34">
        <v>1</v>
      </c>
      <c r="T34">
        <v>43</v>
      </c>
      <c r="U34">
        <v>43</v>
      </c>
      <c r="V34">
        <v>30</v>
      </c>
      <c r="W34">
        <v>43</v>
      </c>
      <c r="X34">
        <v>43</v>
      </c>
      <c r="Y34">
        <v>43</v>
      </c>
      <c r="Z34">
        <v>2</v>
      </c>
      <c r="AA34">
        <v>43</v>
      </c>
      <c r="AB34">
        <v>43</v>
      </c>
      <c r="AC34">
        <v>4</v>
      </c>
      <c r="AD34">
        <v>4</v>
      </c>
      <c r="AE34">
        <v>4</v>
      </c>
      <c r="AF34">
        <v>3</v>
      </c>
      <c r="AG34">
        <v>3</v>
      </c>
      <c r="AH34">
        <v>2</v>
      </c>
      <c r="AI34">
        <v>7</v>
      </c>
      <c r="AJ34">
        <v>2</v>
      </c>
      <c r="AK34">
        <v>4</v>
      </c>
      <c r="AL34">
        <v>2</v>
      </c>
      <c r="AM34" s="2" t="s">
        <v>155</v>
      </c>
    </row>
    <row r="35" spans="1:39" ht="43.5" x14ac:dyDescent="0.35">
      <c r="A35" s="1">
        <v>46200.5312962963</v>
      </c>
      <c r="B35" s="1">
        <v>46200.532604166663</v>
      </c>
      <c r="C35">
        <v>0</v>
      </c>
      <c r="D35" s="2" t="s">
        <v>156</v>
      </c>
      <c r="E35">
        <v>100</v>
      </c>
      <c r="F35">
        <v>112</v>
      </c>
      <c r="G35">
        <v>1</v>
      </c>
      <c r="H35" s="1">
        <v>46200.53261736111</v>
      </c>
      <c r="I35" s="2" t="s">
        <v>157</v>
      </c>
      <c r="J35" s="2" t="s">
        <v>75</v>
      </c>
      <c r="K35" s="2" t="s">
        <v>75</v>
      </c>
      <c r="L35" s="2" t="s">
        <v>75</v>
      </c>
      <c r="M35" s="2" t="s">
        <v>75</v>
      </c>
      <c r="N35">
        <v>40.238100000000003</v>
      </c>
      <c r="O35">
        <v>-74.782200000000003</v>
      </c>
      <c r="P35" s="2" t="s">
        <v>83</v>
      </c>
      <c r="Q35" s="2" t="s">
        <v>78</v>
      </c>
      <c r="R35">
        <v>1</v>
      </c>
      <c r="S35">
        <v>30</v>
      </c>
      <c r="T35">
        <v>43</v>
      </c>
      <c r="U35">
        <v>2</v>
      </c>
      <c r="V35">
        <v>43</v>
      </c>
      <c r="W35">
        <v>1</v>
      </c>
      <c r="X35">
        <v>43</v>
      </c>
      <c r="Y35">
        <v>43</v>
      </c>
      <c r="Z35">
        <v>43</v>
      </c>
      <c r="AA35">
        <v>43</v>
      </c>
      <c r="AB35">
        <v>43</v>
      </c>
      <c r="AC35">
        <v>5</v>
      </c>
      <c r="AD35">
        <v>4</v>
      </c>
      <c r="AE35">
        <v>3</v>
      </c>
      <c r="AF35">
        <v>3</v>
      </c>
      <c r="AG35">
        <v>3</v>
      </c>
      <c r="AH35">
        <v>1</v>
      </c>
      <c r="AI35">
        <v>5</v>
      </c>
      <c r="AJ35">
        <v>3</v>
      </c>
      <c r="AK35">
        <v>4</v>
      </c>
      <c r="AL35">
        <v>1</v>
      </c>
      <c r="AM35" s="2" t="s">
        <v>75</v>
      </c>
    </row>
    <row r="36" spans="1:39" ht="43.5" x14ac:dyDescent="0.35">
      <c r="A36" s="1">
        <v>46200.544907407406</v>
      </c>
      <c r="B36" s="1">
        <v>46200.547222222223</v>
      </c>
      <c r="C36">
        <v>0</v>
      </c>
      <c r="D36" s="2" t="s">
        <v>158</v>
      </c>
      <c r="E36">
        <v>100</v>
      </c>
      <c r="F36">
        <v>200</v>
      </c>
      <c r="G36">
        <v>1</v>
      </c>
      <c r="H36" s="1">
        <v>46200.547232488425</v>
      </c>
      <c r="I36" s="2" t="s">
        <v>159</v>
      </c>
      <c r="J36" s="2" t="s">
        <v>75</v>
      </c>
      <c r="K36" s="2" t="s">
        <v>75</v>
      </c>
      <c r="L36" s="2" t="s">
        <v>75</v>
      </c>
      <c r="M36" s="2" t="s">
        <v>75</v>
      </c>
      <c r="N36">
        <v>33.109699999999997</v>
      </c>
      <c r="O36">
        <v>-117.06699999999999</v>
      </c>
      <c r="P36" s="2" t="s">
        <v>83</v>
      </c>
      <c r="Q36" s="2" t="s">
        <v>78</v>
      </c>
      <c r="R36">
        <v>1</v>
      </c>
      <c r="S36">
        <v>43</v>
      </c>
      <c r="T36">
        <v>1</v>
      </c>
      <c r="U36">
        <v>43</v>
      </c>
      <c r="V36">
        <v>30</v>
      </c>
      <c r="W36">
        <v>43</v>
      </c>
      <c r="X36">
        <v>2</v>
      </c>
      <c r="Y36">
        <v>2</v>
      </c>
      <c r="Z36">
        <v>43</v>
      </c>
      <c r="AA36">
        <v>43</v>
      </c>
      <c r="AB36">
        <v>43</v>
      </c>
      <c r="AC36">
        <v>4</v>
      </c>
      <c r="AD36">
        <v>3</v>
      </c>
      <c r="AE36">
        <v>3</v>
      </c>
      <c r="AF36">
        <v>2</v>
      </c>
      <c r="AG36">
        <v>2</v>
      </c>
      <c r="AH36">
        <v>1</v>
      </c>
      <c r="AI36">
        <v>3</v>
      </c>
      <c r="AJ36">
        <v>3</v>
      </c>
      <c r="AK36">
        <v>5</v>
      </c>
      <c r="AL36">
        <v>1</v>
      </c>
      <c r="AM36" s="2" t="s">
        <v>160</v>
      </c>
    </row>
    <row r="37" spans="1:39" ht="43.5" x14ac:dyDescent="0.35">
      <c r="A37" s="1">
        <v>46200.545937499999</v>
      </c>
      <c r="B37" s="1">
        <v>46200.550497685188</v>
      </c>
      <c r="C37">
        <v>0</v>
      </c>
      <c r="D37" s="2" t="s">
        <v>161</v>
      </c>
      <c r="E37">
        <v>100</v>
      </c>
      <c r="F37">
        <v>394</v>
      </c>
      <c r="G37">
        <v>1</v>
      </c>
      <c r="H37" s="1">
        <v>46200.550514155089</v>
      </c>
      <c r="I37" s="2" t="s">
        <v>162</v>
      </c>
      <c r="J37" s="2" t="s">
        <v>75</v>
      </c>
      <c r="K37" s="2" t="s">
        <v>75</v>
      </c>
      <c r="L37" s="2" t="s">
        <v>75</v>
      </c>
      <c r="M37" s="2" t="s">
        <v>75</v>
      </c>
      <c r="N37">
        <v>26.414100000000001</v>
      </c>
      <c r="O37">
        <v>-80.097200000000001</v>
      </c>
      <c r="P37" s="2" t="s">
        <v>83</v>
      </c>
      <c r="Q37" s="2" t="s">
        <v>78</v>
      </c>
      <c r="R37">
        <v>1</v>
      </c>
      <c r="S37">
        <v>2</v>
      </c>
      <c r="T37">
        <v>43</v>
      </c>
      <c r="U37">
        <v>43</v>
      </c>
      <c r="V37">
        <v>1</v>
      </c>
      <c r="W37">
        <v>43</v>
      </c>
      <c r="X37">
        <v>43</v>
      </c>
      <c r="Y37">
        <v>43</v>
      </c>
      <c r="Z37">
        <v>30</v>
      </c>
      <c r="AA37">
        <v>43</v>
      </c>
      <c r="AB37">
        <v>43</v>
      </c>
      <c r="AC37">
        <v>5</v>
      </c>
      <c r="AD37">
        <v>5</v>
      </c>
      <c r="AE37">
        <v>5</v>
      </c>
      <c r="AF37">
        <v>5</v>
      </c>
      <c r="AG37">
        <v>5</v>
      </c>
      <c r="AH37">
        <v>3</v>
      </c>
      <c r="AI37">
        <v>10</v>
      </c>
      <c r="AJ37">
        <v>2</v>
      </c>
      <c r="AK37">
        <v>1</v>
      </c>
      <c r="AL37">
        <v>2</v>
      </c>
      <c r="AM37" s="2" t="s">
        <v>75</v>
      </c>
    </row>
    <row r="38" spans="1:39" ht="43.5" x14ac:dyDescent="0.35">
      <c r="A38" s="1">
        <v>46200.550578703704</v>
      </c>
      <c r="B38" s="1">
        <v>46200.551388888889</v>
      </c>
      <c r="C38">
        <v>0</v>
      </c>
      <c r="D38" s="2" t="s">
        <v>163</v>
      </c>
      <c r="E38">
        <v>100</v>
      </c>
      <c r="F38">
        <v>69</v>
      </c>
      <c r="G38">
        <v>1</v>
      </c>
      <c r="H38" s="1">
        <v>46200.551395601855</v>
      </c>
      <c r="I38" s="2" t="s">
        <v>164</v>
      </c>
      <c r="J38" s="2" t="s">
        <v>75</v>
      </c>
      <c r="K38" s="2" t="s">
        <v>75</v>
      </c>
      <c r="L38" s="2" t="s">
        <v>75</v>
      </c>
      <c r="M38" s="2" t="s">
        <v>75</v>
      </c>
      <c r="N38">
        <v>35.601700000000001</v>
      </c>
      <c r="O38">
        <v>139.7431</v>
      </c>
      <c r="P38" s="2" t="s">
        <v>83</v>
      </c>
      <c r="Q38" s="2" t="s">
        <v>78</v>
      </c>
      <c r="R38">
        <v>1</v>
      </c>
      <c r="S38">
        <v>1</v>
      </c>
      <c r="T38">
        <v>2</v>
      </c>
      <c r="U38">
        <v>43</v>
      </c>
      <c r="V38">
        <v>43</v>
      </c>
      <c r="W38">
        <v>30</v>
      </c>
      <c r="X38">
        <v>43</v>
      </c>
      <c r="Y38">
        <v>43</v>
      </c>
      <c r="Z38">
        <v>43</v>
      </c>
      <c r="AA38">
        <v>43</v>
      </c>
      <c r="AB38">
        <v>43</v>
      </c>
      <c r="AC38">
        <v>1</v>
      </c>
      <c r="AD38">
        <v>1</v>
      </c>
      <c r="AE38">
        <v>1</v>
      </c>
      <c r="AF38">
        <v>3</v>
      </c>
      <c r="AG38">
        <v>3</v>
      </c>
      <c r="AH38">
        <v>3</v>
      </c>
      <c r="AI38">
        <v>10</v>
      </c>
      <c r="AJ38">
        <v>1</v>
      </c>
      <c r="AK38">
        <v>4</v>
      </c>
      <c r="AL38">
        <v>1</v>
      </c>
      <c r="AM38" s="2" t="s">
        <v>75</v>
      </c>
    </row>
    <row r="39" spans="1:39" ht="43.5" x14ac:dyDescent="0.35">
      <c r="A39" s="1">
        <v>46200.552187499998</v>
      </c>
      <c r="B39" s="1">
        <v>46200.554305555554</v>
      </c>
      <c r="C39">
        <v>0</v>
      </c>
      <c r="D39" s="2" t="s">
        <v>161</v>
      </c>
      <c r="E39">
        <v>100</v>
      </c>
      <c r="F39">
        <v>183</v>
      </c>
      <c r="G39">
        <v>1</v>
      </c>
      <c r="H39" s="1">
        <v>46200.554321979165</v>
      </c>
      <c r="I39" s="2" t="s">
        <v>165</v>
      </c>
      <c r="J39" s="2" t="s">
        <v>75</v>
      </c>
      <c r="K39" s="2" t="s">
        <v>75</v>
      </c>
      <c r="L39" s="2" t="s">
        <v>75</v>
      </c>
      <c r="M39" s="2" t="s">
        <v>75</v>
      </c>
      <c r="N39">
        <v>26.414100000000001</v>
      </c>
      <c r="O39">
        <v>-80.097200000000001</v>
      </c>
      <c r="P39" s="2" t="s">
        <v>83</v>
      </c>
      <c r="Q39" s="2" t="s">
        <v>78</v>
      </c>
      <c r="R39">
        <v>1</v>
      </c>
      <c r="S39">
        <v>1</v>
      </c>
      <c r="T39">
        <v>30</v>
      </c>
      <c r="U39">
        <v>30</v>
      </c>
      <c r="V39">
        <v>2</v>
      </c>
      <c r="W39">
        <v>43</v>
      </c>
      <c r="X39">
        <v>30</v>
      </c>
      <c r="Y39">
        <v>30</v>
      </c>
      <c r="Z39">
        <v>2</v>
      </c>
      <c r="AA39">
        <v>43</v>
      </c>
      <c r="AB39">
        <v>43</v>
      </c>
      <c r="AC39">
        <v>3</v>
      </c>
      <c r="AD39">
        <v>3</v>
      </c>
      <c r="AE39">
        <v>3</v>
      </c>
      <c r="AF39">
        <v>3</v>
      </c>
      <c r="AG39">
        <v>3</v>
      </c>
      <c r="AH39">
        <v>1</v>
      </c>
      <c r="AI39">
        <v>6</v>
      </c>
      <c r="AJ39">
        <v>1</v>
      </c>
      <c r="AK39">
        <v>3</v>
      </c>
      <c r="AL39">
        <v>2</v>
      </c>
      <c r="AM39" s="2" t="s">
        <v>166</v>
      </c>
    </row>
    <row r="40" spans="1:39" ht="43.5" x14ac:dyDescent="0.35">
      <c r="A40" s="1">
        <v>46200.602361111109</v>
      </c>
      <c r="B40" s="1">
        <v>46200.603807870371</v>
      </c>
      <c r="C40">
        <v>0</v>
      </c>
      <c r="D40" s="2" t="s">
        <v>167</v>
      </c>
      <c r="E40">
        <v>100</v>
      </c>
      <c r="F40">
        <v>125</v>
      </c>
      <c r="G40">
        <v>1</v>
      </c>
      <c r="H40" s="1">
        <v>46200.603819027776</v>
      </c>
      <c r="I40" s="2" t="s">
        <v>168</v>
      </c>
      <c r="J40" s="2" t="s">
        <v>75</v>
      </c>
      <c r="K40" s="2" t="s">
        <v>75</v>
      </c>
      <c r="L40" s="2" t="s">
        <v>75</v>
      </c>
      <c r="M40" s="2" t="s">
        <v>75</v>
      </c>
      <c r="N40">
        <v>32.916400000000003</v>
      </c>
      <c r="O40">
        <v>-117.13930000000001</v>
      </c>
      <c r="P40" s="2" t="s">
        <v>83</v>
      </c>
      <c r="Q40" s="2" t="s">
        <v>78</v>
      </c>
      <c r="R40">
        <v>2</v>
      </c>
      <c r="S40">
        <v>1</v>
      </c>
      <c r="T40">
        <v>43</v>
      </c>
      <c r="U40">
        <v>43</v>
      </c>
      <c r="V40">
        <v>30</v>
      </c>
      <c r="W40">
        <v>43</v>
      </c>
      <c r="X40">
        <v>2</v>
      </c>
      <c r="Y40">
        <v>43</v>
      </c>
      <c r="Z40">
        <v>43</v>
      </c>
      <c r="AA40">
        <v>43</v>
      </c>
      <c r="AB40">
        <v>43</v>
      </c>
      <c r="AC40">
        <v>5</v>
      </c>
      <c r="AD40">
        <v>5</v>
      </c>
      <c r="AE40">
        <v>5</v>
      </c>
      <c r="AF40">
        <v>5</v>
      </c>
      <c r="AG40">
        <v>5</v>
      </c>
      <c r="AH40">
        <v>3</v>
      </c>
      <c r="AI40">
        <v>10</v>
      </c>
      <c r="AJ40">
        <v>1</v>
      </c>
      <c r="AK40">
        <v>2</v>
      </c>
      <c r="AL40">
        <v>2</v>
      </c>
      <c r="AM40" s="2" t="s">
        <v>75</v>
      </c>
    </row>
    <row r="41" spans="1:39" ht="29" x14ac:dyDescent="0.35">
      <c r="A41" s="1">
        <v>46200.569131944445</v>
      </c>
      <c r="B41" s="1">
        <v>46200.663854166669</v>
      </c>
      <c r="C41">
        <v>0</v>
      </c>
      <c r="D41" s="2" t="s">
        <v>169</v>
      </c>
      <c r="E41">
        <v>100</v>
      </c>
      <c r="F41">
        <v>8183</v>
      </c>
      <c r="G41">
        <v>1</v>
      </c>
      <c r="H41" s="1">
        <v>46200.663866539355</v>
      </c>
      <c r="I41" s="2" t="s">
        <v>170</v>
      </c>
      <c r="J41" s="2" t="s">
        <v>75</v>
      </c>
      <c r="K41" s="2" t="s">
        <v>75</v>
      </c>
      <c r="L41" s="2" t="s">
        <v>75</v>
      </c>
      <c r="M41" s="2" t="s">
        <v>75</v>
      </c>
      <c r="N41">
        <v>40.014600000000002</v>
      </c>
      <c r="O41">
        <v>-75.7136</v>
      </c>
      <c r="P41" s="2" t="s">
        <v>83</v>
      </c>
      <c r="Q41" s="2" t="s">
        <v>78</v>
      </c>
      <c r="R41">
        <v>1</v>
      </c>
      <c r="S41">
        <v>43</v>
      </c>
      <c r="T41">
        <v>30</v>
      </c>
      <c r="U41">
        <v>43</v>
      </c>
      <c r="V41">
        <v>43</v>
      </c>
      <c r="W41">
        <v>2</v>
      </c>
      <c r="X41">
        <v>43</v>
      </c>
      <c r="Y41">
        <v>43</v>
      </c>
      <c r="Z41">
        <v>43</v>
      </c>
      <c r="AA41">
        <v>1</v>
      </c>
      <c r="AB41">
        <v>43</v>
      </c>
      <c r="AC41">
        <v>3</v>
      </c>
      <c r="AD41">
        <v>3</v>
      </c>
      <c r="AE41">
        <v>4</v>
      </c>
      <c r="AF41">
        <v>3</v>
      </c>
      <c r="AG41">
        <v>3</v>
      </c>
      <c r="AH41">
        <v>1</v>
      </c>
      <c r="AI41">
        <v>6</v>
      </c>
      <c r="AJ41">
        <v>1</v>
      </c>
      <c r="AK41">
        <v>2</v>
      </c>
      <c r="AL41">
        <v>2</v>
      </c>
      <c r="AM41" s="2" t="s">
        <v>171</v>
      </c>
    </row>
    <row r="42" spans="1:39" ht="43.5" x14ac:dyDescent="0.35">
      <c r="A42" s="1">
        <v>46200.706793981481</v>
      </c>
      <c r="B42" s="1">
        <v>46200.708483796298</v>
      </c>
      <c r="C42">
        <v>0</v>
      </c>
      <c r="D42" s="2" t="s">
        <v>172</v>
      </c>
      <c r="E42">
        <v>100</v>
      </c>
      <c r="F42">
        <v>146</v>
      </c>
      <c r="G42">
        <v>1</v>
      </c>
      <c r="H42" s="1">
        <v>46200.708492881946</v>
      </c>
      <c r="I42" s="2" t="s">
        <v>173</v>
      </c>
      <c r="J42" s="2" t="s">
        <v>75</v>
      </c>
      <c r="K42" s="2" t="s">
        <v>75</v>
      </c>
      <c r="L42" s="2" t="s">
        <v>75</v>
      </c>
      <c r="M42" s="2" t="s">
        <v>75</v>
      </c>
      <c r="N42">
        <v>40.334400000000002</v>
      </c>
      <c r="O42">
        <v>-74.795000000000002</v>
      </c>
      <c r="P42" s="2" t="s">
        <v>83</v>
      </c>
      <c r="Q42" s="2" t="s">
        <v>78</v>
      </c>
      <c r="R42">
        <v>1</v>
      </c>
      <c r="S42">
        <v>43</v>
      </c>
      <c r="T42">
        <v>1</v>
      </c>
      <c r="U42">
        <v>43</v>
      </c>
      <c r="V42">
        <v>2</v>
      </c>
      <c r="W42">
        <v>30</v>
      </c>
      <c r="X42">
        <v>43</v>
      </c>
      <c r="Y42">
        <v>43</v>
      </c>
      <c r="Z42">
        <v>43</v>
      </c>
      <c r="AA42">
        <v>43</v>
      </c>
      <c r="AB42">
        <v>43</v>
      </c>
      <c r="AC42">
        <v>5</v>
      </c>
      <c r="AD42">
        <v>1</v>
      </c>
      <c r="AE42">
        <v>5</v>
      </c>
      <c r="AF42">
        <v>5</v>
      </c>
      <c r="AG42">
        <v>5</v>
      </c>
      <c r="AH42">
        <v>3</v>
      </c>
      <c r="AI42">
        <v>10</v>
      </c>
      <c r="AJ42">
        <v>1</v>
      </c>
      <c r="AK42">
        <v>1</v>
      </c>
      <c r="AL42">
        <v>2</v>
      </c>
      <c r="AM42" s="2" t="s">
        <v>75</v>
      </c>
    </row>
    <row r="43" spans="1:39" ht="43.5" x14ac:dyDescent="0.35">
      <c r="A43" s="1">
        <v>46200.750092592592</v>
      </c>
      <c r="B43" s="1">
        <v>46200.750671296293</v>
      </c>
      <c r="C43">
        <v>0</v>
      </c>
      <c r="D43" s="2" t="s">
        <v>174</v>
      </c>
      <c r="E43">
        <v>100</v>
      </c>
      <c r="F43">
        <v>49</v>
      </c>
      <c r="G43">
        <v>1</v>
      </c>
      <c r="H43" s="1">
        <v>46200.750679050929</v>
      </c>
      <c r="I43" s="2" t="s">
        <v>175</v>
      </c>
      <c r="J43" s="2" t="s">
        <v>75</v>
      </c>
      <c r="K43" s="2" t="s">
        <v>75</v>
      </c>
      <c r="L43" s="2" t="s">
        <v>75</v>
      </c>
      <c r="M43" s="2" t="s">
        <v>75</v>
      </c>
      <c r="N43">
        <v>34.714799999999997</v>
      </c>
      <c r="O43">
        <v>-117.87560000000001</v>
      </c>
      <c r="P43" s="2" t="s">
        <v>83</v>
      </c>
      <c r="Q43" s="2" t="s">
        <v>78</v>
      </c>
      <c r="R43">
        <v>4</v>
      </c>
      <c r="S43" s="2" t="s">
        <v>75</v>
      </c>
      <c r="T43" s="2" t="s">
        <v>75</v>
      </c>
      <c r="U43" s="2" t="s">
        <v>75</v>
      </c>
      <c r="V43" s="2" t="s">
        <v>75</v>
      </c>
      <c r="W43" s="2" t="s">
        <v>75</v>
      </c>
      <c r="X43" s="2" t="s">
        <v>75</v>
      </c>
      <c r="Y43" s="2" t="s">
        <v>75</v>
      </c>
      <c r="Z43" s="2" t="s">
        <v>75</v>
      </c>
      <c r="AA43" s="2" t="s">
        <v>75</v>
      </c>
      <c r="AB43" s="2" t="s">
        <v>75</v>
      </c>
      <c r="AC43" s="2" t="s">
        <v>75</v>
      </c>
      <c r="AD43" s="2" t="s">
        <v>75</v>
      </c>
      <c r="AE43" s="2" t="s">
        <v>75</v>
      </c>
      <c r="AF43" s="2" t="s">
        <v>75</v>
      </c>
      <c r="AG43" s="2" t="s">
        <v>75</v>
      </c>
      <c r="AH43" s="2" t="s">
        <v>75</v>
      </c>
      <c r="AI43" s="2" t="s">
        <v>75</v>
      </c>
      <c r="AJ43" s="2" t="s">
        <v>75</v>
      </c>
      <c r="AK43" s="2" t="s">
        <v>75</v>
      </c>
      <c r="AL43" s="2" t="s">
        <v>75</v>
      </c>
      <c r="AM43" s="2" t="s">
        <v>75</v>
      </c>
    </row>
  </sheetData>
  <autoFilter ref="A2:AM44" xr:uid="{00000000-0009-0000-0000-000000000000}"/>
  <pageMargins left="0.7" right="0.7" top="0.75" bottom="0.75" header="0.3" footer="0.3"/>
  <ignoredErrors>
    <ignoredError sqref="D1:D43 I1:I43 J1:J43 K1:K43 L1:L43 M1:M43 P1:P43 Q1:Q43 R1:R43 S1:S43 T1:T43 U1:U43 V1:V43 W1:W43 X1:X43 Y1:Y43 Z1:Z43 AA1:AA43 AB1:AB43 AC1:AC43 AD1:AD43 AE1:AE43 AF1:AF43 AG1:AG43 AH1:AH43 AI1:AI43 AJ1:AJ43 AK1:AK43 AL1:AL43 AM1:AM4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 Tables</vt:lpstr>
      <vt:lpstr>Analysis Data</vt:lpstr>
      <vt:lpstr>Cleaned Data</vt:lpstr>
      <vt:lpstr>Raw Qualtrics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Kennon Holton-Tran</cp:lastModifiedBy>
  <dcterms:created xsi:type="dcterms:W3CDTF">2026-06-28T21:41:42Z</dcterms:created>
  <dcterms:modified xsi:type="dcterms:W3CDTF">2026-07-05T05:02:24Z</dcterms:modified>
</cp:coreProperties>
</file>